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z\OneDrive\桌面\新案\Form\"/>
    </mc:Choice>
  </mc:AlternateContent>
  <xr:revisionPtr revIDLastSave="0" documentId="13_ncr:1_{EC385DF8-9029-4B1D-98C1-8BCC6A7D7AF6}" xr6:coauthVersionLast="47" xr6:coauthVersionMax="47" xr10:uidLastSave="{00000000-0000-0000-0000-000000000000}"/>
  <bookViews>
    <workbookView xWindow="28680" yWindow="-120" windowWidth="29040" windowHeight="15720" activeTab="2" xr2:uid="{94396FD0-0584-488C-A968-4EDD89294114}"/>
  </bookViews>
  <sheets>
    <sheet name="#Info" sheetId="2" r:id="rId1"/>
    <sheet name="ContainerMaterial" sheetId="3" r:id="rId2"/>
    <sheet name="ContainerCapacity" sheetId="5" r:id="rId3"/>
    <sheet name="Container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4" i="1"/>
  <c r="H5" i="1"/>
  <c r="H6" i="1"/>
  <c r="H7" i="1"/>
  <c r="H8" i="1"/>
  <c r="H9" i="1"/>
  <c r="H10" i="1"/>
  <c r="H11" i="1"/>
  <c r="H12" i="1"/>
  <c r="H13" i="1"/>
  <c r="H14" i="1"/>
  <c r="H1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tc={D2777DA0-E234-4A9F-946F-2B0F8263A653}</author>
  </authors>
  <commentList>
    <comment ref="E1" authorId="0" shapeId="0" xr:uid="{D2777DA0-E234-4A9F-946F-2B0F8263A653}">
      <text>
        <t>[對話串註解]
您的 Excel 版本可讓您讀取此對話串註解; 但若以較新的 Excel 版本開啟此檔案，將會移除對它進行的所有編輯。深入了解: https://go.microsoft.com/fwlink/?linkid=870924。
註解:
    影響副產品的產出量(越大越多)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tc={4B0389F3-8307-41E8-88F0-32C5091D81D7}</author>
  </authors>
  <commentList>
    <comment ref="E1" authorId="0" shapeId="0" xr:uid="{4B0389F3-8307-41E8-88F0-32C5091D81D7}">
      <text>
        <t>[對話串註解]
您的 Excel 版本可讓您讀取此對話串註解; 但若以較新的 Excel 版本開啟此檔案，將會移除對它進行的所有編輯。深入了解: https://go.microsoft.com/fwlink/?linkid=870924。
註解:
    影響副產品的產出量(越大越多)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tc={A6AF9F25-0896-4D73-A7C3-6F768485E809}</author>
    <author>tc={C5FD680B-AE16-4EB5-B474-810F9C80A946}</author>
    <author>tc={D9F98F7B-A9BD-4F9F-BB28-3849435BBA28}</author>
  </authors>
  <commentList>
    <comment ref="G1" authorId="0" shapeId="0" xr:uid="{A6AF9F25-0896-4D73-A7C3-6F768485E809}">
      <text>
        <t>[對話串註解]
您的 Excel 版本可讓您讀取此對話串註解; 但若以較新的 Excel 版本開啟此檔案，將會移除對它進行的所有編輯。深入了解: https://go.microsoft.com/fwlink/?linkid=870924。
註解:
    須根據材質設定，但可微調個別容器係數(越大導熱越快)</t>
      </text>
    </comment>
    <comment ref="H1" authorId="1" shapeId="0" xr:uid="{C5FD680B-AE16-4EB5-B474-810F9C80A946}">
      <text>
        <t>[對話串註解]
您的 Excel 版本可讓您讀取此對話串註解; 但若以較新的 Excel 版本開啟此檔案，將會移除對它進行的所有編輯。深入了解: https://go.microsoft.com/fwlink/?linkid=870924。
註解:
    受該容器的材質係數與容量係數影響</t>
      </text>
    </comment>
    <comment ref="K1" authorId="2" shapeId="0" xr:uid="{D9F98F7B-A9BD-4F9F-BB28-3849435BBA28}">
      <text>
        <t>[對話串註解]
您的 Excel 版本可讓您讀取此對話串註解; 但若以較新的 Excel 版本開啟此檔案，將會移除對它進行的所有編輯。深入了解: https://go.microsoft.com/fwlink/?linkid=870924。
註解:
    程式計算是否可容納時使用，亦為美術設計的參考，此比例僅代表碰撞框，不代表形狀
回覆:
    需考慮容量再微調設計</t>
      </text>
    </comment>
  </commentList>
</comments>
</file>

<file path=xl/sharedStrings.xml><?xml version="1.0" encoding="utf-8"?>
<sst xmlns="http://schemas.openxmlformats.org/spreadsheetml/2006/main" count="231" uniqueCount="162">
  <si>
    <t>Index</t>
  </si>
  <si>
    <t>容器ID</t>
  </si>
  <si>
    <t>容器名稱</t>
  </si>
  <si>
    <t>材質</t>
  </si>
  <si>
    <t>副產品產量</t>
  </si>
  <si>
    <t>耐久</t>
  </si>
  <si>
    <t>價格加成</t>
  </si>
  <si>
    <t>修補材料</t>
  </si>
  <si>
    <t>容器藥性係數</t>
  </si>
  <si>
    <t>解鎖等級</t>
  </si>
  <si>
    <t>ContainerID</t>
  </si>
  <si>
    <t>ContainerName</t>
  </si>
  <si>
    <t>MaterialType</t>
  </si>
  <si>
    <t>Cost</t>
  </si>
  <si>
    <t>LevelReq</t>
  </si>
  <si>
    <t>uint32</t>
  </si>
  <si>
    <t>string</t>
  </si>
  <si>
    <t>float</t>
  </si>
  <si>
    <t>#備註</t>
    <phoneticPr fontId="3" type="noConversion"/>
  </si>
  <si>
    <t>最佳修補材料</t>
  </si>
  <si>
    <t>標準陶釜</t>
  </si>
  <si>
    <t>陶</t>
  </si>
  <si>
    <t>中</t>
  </si>
  <si>
    <t>金剛泥</t>
  </si>
  <si>
    <t>粗製土罐</t>
  </si>
  <si>
    <t>土</t>
  </si>
  <si>
    <t>小</t>
  </si>
  <si>
    <t>有毒土塊</t>
  </si>
  <si>
    <t>白玉瓷鼎</t>
  </si>
  <si>
    <t>瓷</t>
  </si>
  <si>
    <t>湘妃竹筒</t>
  </si>
  <si>
    <t>竹</t>
  </si>
  <si>
    <t>黏稠的漿糊</t>
  </si>
  <si>
    <t>鐵</t>
  </si>
  <si>
    <t>大</t>
  </si>
  <si>
    <t>除鏽液</t>
  </si>
  <si>
    <t>赤銅八卦爐</t>
  </si>
  <si>
    <t>銅</t>
  </si>
  <si>
    <t>純銀試毒皿</t>
  </si>
  <si>
    <t>銀</t>
  </si>
  <si>
    <t>汞精</t>
  </si>
  <si>
    <t>紫金乾坤鼎</t>
  </si>
  <si>
    <t>金</t>
  </si>
  <si>
    <t>黑鉛聚汞洗</t>
  </si>
  <si>
    <t>鉛</t>
  </si>
  <si>
    <t>合金</t>
  </si>
  <si>
    <t>五色藥渣</t>
  </si>
  <si>
    <t>ContainerMaterial</t>
  </si>
  <si>
    <t>材質名稱</t>
    <phoneticPr fontId="3" type="noConversion"/>
  </si>
  <si>
    <t>容器材質ID</t>
    <phoneticPr fontId="3" type="noConversion"/>
  </si>
  <si>
    <t>MaterialName</t>
    <phoneticPr fontId="3" type="noConversion"/>
  </si>
  <si>
    <t>MaterialID</t>
    <phoneticPr fontId="3" type="noConversion"/>
  </si>
  <si>
    <t>ContainerData</t>
  </si>
  <si>
    <t>容器材質列舉</t>
    <phoneticPr fontId="3" type="noConversion"/>
  </si>
  <si>
    <t>容器大小列舉</t>
    <phoneticPr fontId="3" type="noConversion"/>
  </si>
  <si>
    <t>容器屬性表</t>
    <phoneticPr fontId="3" type="noConversion"/>
  </si>
  <si>
    <t>材質係數</t>
    <phoneticPr fontId="3" type="noConversion"/>
  </si>
  <si>
    <t>MateriaMult</t>
    <phoneticPr fontId="3" type="noConversion"/>
  </si>
  <si>
    <t>float</t>
    <phoneticPr fontId="3" type="noConversion"/>
  </si>
  <si>
    <t>容器容量ID</t>
    <phoneticPr fontId="3" type="noConversion"/>
  </si>
  <si>
    <t>容量名稱</t>
    <phoneticPr fontId="3" type="noConversion"/>
  </si>
  <si>
    <t>容量敘述</t>
    <phoneticPr fontId="3" type="noConversion"/>
  </si>
  <si>
    <t>CapacityID</t>
  </si>
  <si>
    <t>CapacityClass</t>
  </si>
  <si>
    <t>CapacityDesc</t>
  </si>
  <si>
    <t>容量係數</t>
    <phoneticPr fontId="3" type="noConversion"/>
  </si>
  <si>
    <t>CapacityMult</t>
    <phoneticPr fontId="3" type="noConversion"/>
  </si>
  <si>
    <t>CapacitySingle</t>
    <phoneticPr fontId="3" type="noConversion"/>
  </si>
  <si>
    <t>小</t>
    <phoneticPr fontId="3" type="noConversion"/>
  </si>
  <si>
    <t>中</t>
    <phoneticPr fontId="3" type="noConversion"/>
  </si>
  <si>
    <t>大</t>
    <phoneticPr fontId="3" type="noConversion"/>
  </si>
  <si>
    <t>較小</t>
    <phoneticPr fontId="3" type="noConversion"/>
  </si>
  <si>
    <t>較大</t>
    <phoneticPr fontId="3" type="noConversion"/>
  </si>
  <si>
    <t>RepairMatID</t>
  </si>
  <si>
    <t>RepairMatID</t>
    <phoneticPr fontId="3" type="noConversion"/>
  </si>
  <si>
    <t>BonusEfficacy</t>
    <phoneticPr fontId="3" type="noConversion"/>
  </si>
  <si>
    <t>BonusPrice</t>
  </si>
  <si>
    <t>BonusPrice</t>
    <phoneticPr fontId="3" type="noConversion"/>
  </si>
  <si>
    <t>成本</t>
    <phoneticPr fontId="3" type="noConversion"/>
  </si>
  <si>
    <t>X軸大小比</t>
    <phoneticPr fontId="3" type="noConversion"/>
  </si>
  <si>
    <t>Y軸大小比</t>
    <phoneticPr fontId="3" type="noConversion"/>
  </si>
  <si>
    <t>Z軸大小比</t>
    <phoneticPr fontId="3" type="noConversion"/>
  </si>
  <si>
    <t>ScaleX</t>
    <phoneticPr fontId="3" type="noConversion"/>
  </si>
  <si>
    <t>ScaleY</t>
    <phoneticPr fontId="3" type="noConversion"/>
  </si>
  <si>
    <t>ScaleZ</t>
    <phoneticPr fontId="3" type="noConversion"/>
  </si>
  <si>
    <t>導熱效率</t>
    <phoneticPr fontId="3" type="noConversion"/>
  </si>
  <si>
    <t>五行混元爐·小巧</t>
    <phoneticPr fontId="3" type="noConversion"/>
  </si>
  <si>
    <t>玄鐵丹爐</t>
    <phoneticPr fontId="3" type="noConversion"/>
  </si>
  <si>
    <t>HeatSensitivity</t>
  </si>
  <si>
    <t>五行混元爐·渾天</t>
    <phoneticPr fontId="3" type="noConversion"/>
  </si>
  <si>
    <t>五行混元爐·太極</t>
    <phoneticPr fontId="3" type="noConversion"/>
  </si>
  <si>
    <t>容量</t>
  </si>
  <si>
    <t>標籤</t>
  </si>
  <si>
    <t>對應屬性</t>
  </si>
  <si>
    <t>判定邏輯 (Logic Example)</t>
  </si>
  <si>
    <t>文本範例 (Text)</t>
  </si>
  <si>
    <t>"結構尚可"</t>
  </si>
  <si>
    <t>&lt; 30</t>
  </si>
  <si>
    <t>"質地脆弱"</t>
  </si>
  <si>
    <t>"容量大"</t>
  </si>
  <si>
    <t>== 1.0</t>
  </si>
  <si>
    <t>"對於價格沒有任何影響"</t>
  </si>
  <si>
    <t>&gt; 1.0</t>
  </si>
  <si>
    <t>&gt; 2.0</t>
  </si>
  <si>
    <t>"能夠幫助藥性發揮"</t>
  </si>
  <si>
    <t>&lt; 1.0</t>
  </si>
  <si>
    <t>"能使藥性略為加強"</t>
  </si>
  <si>
    <t>"會有部分藥性流失"</t>
  </si>
  <si>
    <t>""</t>
  </si>
  <si>
    <t>{0}</t>
  </si>
  <si>
    <t>{1}</t>
  </si>
  <si>
    <t>{2}</t>
  </si>
  <si>
    <t>{3}</t>
  </si>
  <si>
    <t>{4}</t>
  </si>
  <si>
    <t>{5}</t>
  </si>
  <si>
    <t>{6}</t>
  </si>
  <si>
    <t>{7}</t>
  </si>
  <si>
    <t>定位/特色</t>
  </si>
  <si>
    <t>讀表資料</t>
  </si>
  <si>
    <t>額外描述</t>
  </si>
  <si>
    <t>額外描述</t>
    <phoneticPr fontId="3" type="noConversion"/>
  </si>
  <si>
    <t>藥性過程</t>
  </si>
  <si>
    <t>藥性結果</t>
  </si>
  <si>
    <t>參數格</t>
  </si>
  <si>
    <t>&gt;= 100</t>
  </si>
  <si>
    <t>30 ~ 99</t>
  </si>
  <si>
    <t>"能使價格小幅提升"</t>
  </si>
  <si>
    <t>"能極大的提升丹藥價值"</t>
  </si>
  <si>
    <t>"會吸收部分藥性"</t>
  </si>
  <si>
    <t>"穩定維持原本藥性"</t>
  </si>
  <si>
    <t>DurabilityMax</t>
  </si>
  <si>
    <t>DurabilityMax</t>
    <phoneticPr fontId="3" type="noConversion"/>
  </si>
  <si>
    <t>定位/特色敘述</t>
  </si>
  <si>
    <t>string</t>
    <phoneticPr fontId="3" type="noConversion"/>
  </si>
  <si>
    <t>FeatureDesc</t>
  </si>
  <si>
    <t>ExtraDesc</t>
  </si>
  <si>
    <t>ExtraDesc</t>
    <phoneticPr fontId="3" type="noConversion"/>
  </si>
  <si>
    <t>"入門"、"適合量產"</t>
  </si>
  <si>
    <t>"比土罐好用多了，"、""</t>
  </si>
  <si>
    <t>"容量小巧"、"容量略小"</t>
  </si>
  <si>
    <t>01</t>
    <phoneticPr fontId="3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</si>
  <si>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</si>
  <si>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</si>
  <si>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</si>
  <si>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</si>
  <si>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</si>
  <si>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</si>
  <si>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</si>
  <si>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</si>
  <si>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</si>
  <si>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入門</t>
  </si>
  <si>
    <t>適合量產</t>
  </si>
  <si>
    <t>比土罐好用多了</t>
  </si>
  <si>
    <t>容量大</t>
  </si>
  <si>
    <t>容量小巧</t>
    <phoneticPr fontId="3" type="noConversion"/>
  </si>
  <si>
    <t>容量略小</t>
    <phoneticPr fontId="3" type="noConversion"/>
  </si>
  <si>
    <t>容量極大</t>
    <phoneticPr fontId="3" type="noConversion"/>
  </si>
  <si>
    <t>Index</t>
    <phoneticPr fontId="3" type="noConversion"/>
  </si>
  <si>
    <t>容器容量</t>
    <phoneticPr fontId="3" type="noConversion"/>
  </si>
  <si>
    <t>CapacityClass</t>
    <phoneticPr fontId="3" type="noConversion"/>
  </si>
  <si>
    <t>SubProdYield</t>
    <phoneticPr fontId="3" type="noConversion"/>
  </si>
  <si>
    <t>單一材料上限(錢)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</si>
</sst>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全字庫正宋體"/>
      <family val="1"/>
      <charset val="136"/>
    </font>
    <font>
      <sz val="9"/>
      <name val="新細明體"/>
      <family val="2"/>
      <charset val="136"/>
      <scheme val="minor"/>
    </font>
    <font>
      <b/>
      <sz val="10"/>
      <color rgb="FF1F1F1F"/>
      <name val="全字庫正宋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2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49" fontId="2" fillId="3" borderId="2" xfId="0" applyNumberFormat="1" applyFont="1" applyFill="1" applyBorder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rza Chen" id="{9D676C94-9AEE-48FE-8C85-BB6036DA7B0F}" userId="f85608126126f9cf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22T03:03:55.65" personId="{9D676C94-9AEE-48FE-8C85-BB6036DA7B0F}" id="{D2777DA0-E234-4A9F-946F-2B0F8263A653}">
    <text>影響副產品的產出量(越大越多)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6-01-22T03:04:18.73" personId="{9D676C94-9AEE-48FE-8C85-BB6036DA7B0F}" id="{4B0389F3-8307-41E8-88F0-32C5091D81D7}">
    <text>影響副產品的產出量(越大越多)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6-01-22T03:35:33.61" personId="{9D676C94-9AEE-48FE-8C85-BB6036DA7B0F}" id="{A6AF9F25-0896-4D73-A7C3-6F768485E809}">
    <text>須根據材質設定，但可微調個別容器係數(越大導熱越快)</text>
  </threadedComment>
  <threadedComment ref="H1" dT="2026-01-22T03:24:02.11" personId="{9D676C94-9AEE-48FE-8C85-BB6036DA7B0F}" id="{C5FD680B-AE16-4EB5-B474-810F9C80A946}">
    <text>受該容器的材質係數與容量係數影響</text>
  </threadedComment>
  <threadedComment ref="K1" dT="2026-01-22T03:26:29.68" personId="{9D676C94-9AEE-48FE-8C85-BB6036DA7B0F}" id="{D9F98F7B-A9BD-4F9F-BB28-3849435BBA28}">
    <text>程式計算是否可容納時使用，亦為美術設計的參考，此比例僅代表碰撞框，不代表形狀</text>
  </threadedComment>
  <threadedComment ref="K1" dT="2026-01-22T05:34:03.65" personId="{9D676C94-9AEE-48FE-8C85-BB6036DA7B0F}" id="{E27CAEC7-9A1D-41F8-915F-88DCF7BE0D74}" parentId="{D9F98F7B-A9BD-4F9F-BB28-3849435BBA28}">
    <text>需考慮容量再微調設計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BC20-4F93-4194-9943-41F1E741650F}">
  <dimension ref="A1:L29"/>
  <sheetViews>
    <sheetView workbookViewId="0">
      <selection activeCell="L20" sqref="L20"/>
    </sheetView>
  </sheetViews>
  <sheetFormatPr defaultRowHeight="12.6" x14ac:dyDescent="0.3"/>
  <cols>
    <col min="1" max="7" width="8.88671875" style="2"/>
    <col min="8" max="8" width="7.5546875" style="2" bestFit="1" customWidth="1"/>
    <col min="9" max="9" width="10.109375" style="2" bestFit="1" customWidth="1"/>
    <col min="10" max="10" width="15" style="2" bestFit="1" customWidth="1"/>
    <col min="11" max="11" width="25" style="2" bestFit="1" customWidth="1"/>
    <col min="12" max="12" width="23.77734375" style="2" bestFit="1" customWidth="1"/>
    <col min="13" max="16384" width="8.88671875" style="2"/>
  </cols>
  <sheetData>
    <row r="1" spans="1:12" x14ac:dyDescent="0.3">
      <c r="A1" s="2" t="s">
        <v>47</v>
      </c>
    </row>
    <row r="2" spans="1:12" x14ac:dyDescent="0.3">
      <c r="A2" s="2" t="s">
        <v>53</v>
      </c>
    </row>
    <row r="4" spans="1:12" x14ac:dyDescent="0.3">
      <c r="A4" s="2" t="s">
        <v>54</v>
      </c>
    </row>
    <row r="5" spans="1:12" x14ac:dyDescent="0.3">
      <c r="A5" s="2" t="s">
        <v>52</v>
      </c>
    </row>
    <row r="6" spans="1:12" x14ac:dyDescent="0.3">
      <c r="A6" s="2" t="s">
        <v>55</v>
      </c>
    </row>
    <row r="13" spans="1:12" x14ac:dyDescent="0.3">
      <c r="H13" s="4" t="s">
        <v>123</v>
      </c>
      <c r="I13" s="4" t="s">
        <v>92</v>
      </c>
      <c r="J13" s="4" t="s">
        <v>93</v>
      </c>
      <c r="K13" s="4" t="s">
        <v>94</v>
      </c>
      <c r="L13" s="4" t="s">
        <v>95</v>
      </c>
    </row>
    <row r="14" spans="1:12" x14ac:dyDescent="0.3">
      <c r="H14" s="2" t="s">
        <v>109</v>
      </c>
      <c r="I14" s="2" t="s">
        <v>119</v>
      </c>
      <c r="J14" s="2" t="s">
        <v>135</v>
      </c>
      <c r="K14" s="2" t="s">
        <v>118</v>
      </c>
      <c r="L14" s="2" t="s">
        <v>137</v>
      </c>
    </row>
    <row r="15" spans="1:12" x14ac:dyDescent="0.3">
      <c r="H15" s="2" t="s">
        <v>110</v>
      </c>
      <c r="I15" s="2" t="s">
        <v>117</v>
      </c>
      <c r="J15" s="2" t="s">
        <v>134</v>
      </c>
      <c r="K15" s="2" t="s">
        <v>118</v>
      </c>
      <c r="L15" s="2" t="s">
        <v>138</v>
      </c>
    </row>
    <row r="16" spans="1:12" x14ac:dyDescent="0.3">
      <c r="H16" s="2" t="s">
        <v>111</v>
      </c>
      <c r="I16" s="2" t="s">
        <v>5</v>
      </c>
      <c r="J16" s="2" t="s">
        <v>130</v>
      </c>
      <c r="K16" s="2" t="s">
        <v>124</v>
      </c>
      <c r="L16" s="2" t="s">
        <v>96</v>
      </c>
    </row>
    <row r="17" spans="8:12" x14ac:dyDescent="0.3">
      <c r="K17" s="2" t="s">
        <v>125</v>
      </c>
      <c r="L17" s="2" t="s">
        <v>98</v>
      </c>
    </row>
    <row r="18" spans="8:12" x14ac:dyDescent="0.3">
      <c r="K18" s="2" t="s">
        <v>97</v>
      </c>
      <c r="L18" s="2" t="s">
        <v>99</v>
      </c>
    </row>
    <row r="19" spans="8:12" x14ac:dyDescent="0.3">
      <c r="H19" s="2" t="s">
        <v>112</v>
      </c>
      <c r="I19" s="2" t="s">
        <v>91</v>
      </c>
      <c r="J19" s="2" t="s">
        <v>64</v>
      </c>
      <c r="K19" s="2" t="s">
        <v>118</v>
      </c>
      <c r="L19" s="2" t="s">
        <v>139</v>
      </c>
    </row>
    <row r="20" spans="8:12" x14ac:dyDescent="0.3">
      <c r="H20" s="2" t="s">
        <v>113</v>
      </c>
      <c r="I20" s="2" t="s">
        <v>6</v>
      </c>
      <c r="J20" s="2" t="s">
        <v>76</v>
      </c>
      <c r="K20" s="2" t="s">
        <v>100</v>
      </c>
      <c r="L20" s="2" t="s">
        <v>101</v>
      </c>
    </row>
    <row r="21" spans="8:12" x14ac:dyDescent="0.3">
      <c r="K21" s="2" t="s">
        <v>102</v>
      </c>
      <c r="L21" s="2" t="s">
        <v>126</v>
      </c>
    </row>
    <row r="22" spans="8:12" x14ac:dyDescent="0.3">
      <c r="K22" s="2" t="s">
        <v>103</v>
      </c>
      <c r="L22" s="2" t="s">
        <v>127</v>
      </c>
    </row>
    <row r="23" spans="8:12" x14ac:dyDescent="0.3">
      <c r="H23" s="2" t="s">
        <v>114</v>
      </c>
      <c r="I23" s="2" t="s">
        <v>121</v>
      </c>
      <c r="K23" s="2" t="s">
        <v>102</v>
      </c>
      <c r="L23" s="2" t="s">
        <v>104</v>
      </c>
    </row>
    <row r="24" spans="8:12" x14ac:dyDescent="0.3">
      <c r="K24" s="2" t="s">
        <v>100</v>
      </c>
      <c r="L24" s="2" t="s">
        <v>108</v>
      </c>
    </row>
    <row r="25" spans="8:12" x14ac:dyDescent="0.3">
      <c r="K25" s="2" t="s">
        <v>105</v>
      </c>
      <c r="L25" s="2" t="s">
        <v>128</v>
      </c>
    </row>
    <row r="26" spans="8:12" x14ac:dyDescent="0.3">
      <c r="H26" s="2" t="s">
        <v>115</v>
      </c>
      <c r="I26" s="2" t="s">
        <v>122</v>
      </c>
      <c r="K26" s="2" t="s">
        <v>102</v>
      </c>
      <c r="L26" s="2" t="s">
        <v>106</v>
      </c>
    </row>
    <row r="27" spans="8:12" x14ac:dyDescent="0.3">
      <c r="K27" s="2" t="s">
        <v>100</v>
      </c>
      <c r="L27" s="2" t="s">
        <v>129</v>
      </c>
    </row>
    <row r="28" spans="8:12" x14ac:dyDescent="0.3">
      <c r="K28" s="2" t="s">
        <v>105</v>
      </c>
      <c r="L28" s="2" t="s">
        <v>107</v>
      </c>
    </row>
    <row r="29" spans="8:12" x14ac:dyDescent="0.3">
      <c r="H29" s="2" t="s">
        <v>116</v>
      </c>
      <c r="I29" s="2" t="s">
        <v>7</v>
      </c>
      <c r="J29" s="2" t="s">
        <v>73</v>
      </c>
      <c r="K29" s="2" t="s">
        <v>118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92E2-73BD-42CA-83A1-9ABE8BC06085}">
  <dimension ref="A1:I13"/>
  <sheetViews>
    <sheetView workbookViewId="0">
      <selection sqref="A1:H13"/>
    </sheetView>
  </sheetViews>
  <sheetFormatPr defaultColWidth="7.77734375" defaultRowHeight="13.8" x14ac:dyDescent="0.3"/>
  <cols>
    <col min="1" max="1" width="7.5546875" style="2" bestFit="1" customWidth="1"/>
    <col min="2" max="2" width="11.6640625" style="8" bestFit="1" customWidth="1"/>
    <col min="3" max="3" width="13.88671875" style="2" bestFit="1" customWidth="1"/>
    <col min="4" max="4" width="15.21875" style="2" bestFit="1" customWidth="1"/>
    <col min="5" max="5" width="12.77734375" style="2" bestFit="1" customWidth="1"/>
    <col min="6" max="6" width="13.109375" style="2" bestFit="1" customWidth="1"/>
    <col min="7" max="7" width="11.6640625" style="2" bestFit="1" customWidth="1"/>
    <col min="8" max="8" width="15" style="2" bestFit="1" customWidth="1"/>
    <col min="9" max="9" width="7.77734375" style="1"/>
    <col min="10" max="16384" width="7.77734375" style="2"/>
  </cols>
  <sheetData>
    <row r="1" spans="1:8" x14ac:dyDescent="0.3">
      <c r="A1" s="5" t="s">
        <v>0</v>
      </c>
      <c r="B1" s="7" t="s">
        <v>49</v>
      </c>
      <c r="C1" s="5" t="s">
        <v>48</v>
      </c>
      <c r="D1" s="5" t="s">
        <v>132</v>
      </c>
      <c r="E1" s="5" t="s">
        <v>56</v>
      </c>
      <c r="F1" s="5" t="s">
        <v>19</v>
      </c>
      <c r="G1" s="5" t="s">
        <v>6</v>
      </c>
      <c r="H1" s="5" t="s">
        <v>8</v>
      </c>
    </row>
    <row r="2" spans="1:8" x14ac:dyDescent="0.3">
      <c r="A2" s="5" t="s">
        <v>0</v>
      </c>
      <c r="B2" s="7" t="s">
        <v>51</v>
      </c>
      <c r="C2" s="5" t="s">
        <v>50</v>
      </c>
      <c r="D2" s="5" t="s">
        <v>134</v>
      </c>
      <c r="E2" s="5" t="s">
        <v>57</v>
      </c>
      <c r="F2" s="5" t="s">
        <v>74</v>
      </c>
      <c r="G2" s="5" t="s">
        <v>77</v>
      </c>
      <c r="H2" s="5" t="s">
        <v>75</v>
      </c>
    </row>
    <row r="3" spans="1:8" x14ac:dyDescent="0.3">
      <c r="A3" s="5" t="s">
        <v>15</v>
      </c>
      <c r="B3" s="7" t="s">
        <v>16</v>
      </c>
      <c r="C3" s="5" t="s">
        <v>16</v>
      </c>
      <c r="D3" s="5" t="s">
        <v>16</v>
      </c>
      <c r="E3" s="5" t="s">
        <v>58</v>
      </c>
      <c r="F3" s="5" t="s">
        <v>16</v>
      </c>
      <c r="G3" s="5" t="s">
        <v>17</v>
      </c>
      <c r="H3" s="5" t="s">
        <v>17</v>
      </c>
    </row>
    <row r="4" spans="1:8" x14ac:dyDescent="0.3">
      <c r="A4" s="2">
        <v>1</v>
      </c>
      <c r="B4" s="8" t="s">
        <v>140</v>
      </c>
      <c r="C4" s="2" t="s">
        <v>21</v>
      </c>
      <c r="D4" s="2" t="s">
        <v>152</v>
      </c>
      <c r="E4" s="2">
        <v>1</v>
      </c>
      <c r="F4" s="2" t="s">
        <v>23</v>
      </c>
      <c r="G4" s="3">
        <v>1</v>
      </c>
      <c r="H4" s="3">
        <v>0.5</v>
      </c>
    </row>
    <row r="5" spans="1:8" x14ac:dyDescent="0.3">
      <c r="A5" s="2">
        <v>2</v>
      </c>
      <c r="B5" s="8" t="s">
        <v>141</v>
      </c>
      <c r="C5" s="2" t="s">
        <v>25</v>
      </c>
      <c r="E5" s="2">
        <v>1.5</v>
      </c>
      <c r="F5" s="2" t="s">
        <v>27</v>
      </c>
      <c r="G5" s="3">
        <v>1</v>
      </c>
      <c r="H5" s="3">
        <v>0.4</v>
      </c>
    </row>
    <row r="6" spans="1:8" x14ac:dyDescent="0.3">
      <c r="A6" s="2">
        <v>3</v>
      </c>
      <c r="B6" s="8" t="s">
        <v>142</v>
      </c>
      <c r="C6" s="2" t="s">
        <v>29</v>
      </c>
      <c r="E6" s="2">
        <v>0.5</v>
      </c>
      <c r="F6" s="2" t="s">
        <v>23</v>
      </c>
      <c r="G6" s="3">
        <v>1.2</v>
      </c>
      <c r="H6" s="3">
        <v>0.8</v>
      </c>
    </row>
    <row r="7" spans="1:8" x14ac:dyDescent="0.3">
      <c r="A7" s="2">
        <v>4</v>
      </c>
      <c r="B7" s="8" t="s">
        <v>143</v>
      </c>
      <c r="C7" s="2" t="s">
        <v>31</v>
      </c>
      <c r="E7" s="2">
        <v>1.2</v>
      </c>
      <c r="F7" s="2" t="s">
        <v>32</v>
      </c>
      <c r="G7" s="3">
        <v>1.1000000000000001</v>
      </c>
      <c r="H7" s="3">
        <v>1</v>
      </c>
    </row>
    <row r="8" spans="1:8" x14ac:dyDescent="0.3">
      <c r="A8" s="2">
        <v>5</v>
      </c>
      <c r="B8" s="8" t="s">
        <v>144</v>
      </c>
      <c r="C8" s="2" t="s">
        <v>33</v>
      </c>
      <c r="E8" s="2">
        <v>1.2</v>
      </c>
      <c r="F8" s="2" t="s">
        <v>35</v>
      </c>
      <c r="G8" s="3">
        <v>1</v>
      </c>
      <c r="H8" s="3">
        <v>1.2</v>
      </c>
    </row>
    <row r="9" spans="1:8" x14ac:dyDescent="0.3">
      <c r="A9" s="2">
        <v>6</v>
      </c>
      <c r="B9" s="8" t="s">
        <v>145</v>
      </c>
      <c r="C9" s="2" t="s">
        <v>37</v>
      </c>
      <c r="E9" s="2">
        <v>1.1000000000000001</v>
      </c>
      <c r="F9" s="2" t="s">
        <v>35</v>
      </c>
      <c r="G9" s="3">
        <v>1.1000000000000001</v>
      </c>
      <c r="H9" s="3">
        <v>1</v>
      </c>
    </row>
    <row r="10" spans="1:8" x14ac:dyDescent="0.3">
      <c r="A10" s="2">
        <v>7</v>
      </c>
      <c r="B10" s="8" t="s">
        <v>146</v>
      </c>
      <c r="C10" s="2" t="s">
        <v>39</v>
      </c>
      <c r="E10" s="2">
        <v>0.8</v>
      </c>
      <c r="F10" s="2" t="s">
        <v>40</v>
      </c>
      <c r="G10" s="3">
        <v>1.5</v>
      </c>
      <c r="H10" s="3">
        <v>1.2</v>
      </c>
    </row>
    <row r="11" spans="1:8" x14ac:dyDescent="0.3">
      <c r="A11" s="2">
        <v>8</v>
      </c>
      <c r="B11" s="8" t="s">
        <v>147</v>
      </c>
      <c r="C11" s="2" t="s">
        <v>42</v>
      </c>
      <c r="E11" s="2">
        <v>0.2</v>
      </c>
      <c r="F11" s="2" t="s">
        <v>40</v>
      </c>
      <c r="G11" s="3">
        <v>3</v>
      </c>
      <c r="H11" s="3">
        <v>1</v>
      </c>
    </row>
    <row r="12" spans="1:8" x14ac:dyDescent="0.3">
      <c r="A12" s="2">
        <v>9</v>
      </c>
      <c r="B12" s="8" t="s">
        <v>148</v>
      </c>
      <c r="C12" s="2" t="s">
        <v>44</v>
      </c>
      <c r="E12" s="2">
        <v>2</v>
      </c>
      <c r="F12" s="2" t="s">
        <v>27</v>
      </c>
      <c r="G12" s="3">
        <v>1</v>
      </c>
      <c r="H12" s="3">
        <v>1.5</v>
      </c>
    </row>
    <row r="13" spans="1:8" x14ac:dyDescent="0.3">
      <c r="A13" s="2">
        <v>10</v>
      </c>
      <c r="B13" s="8" t="s">
        <v>149</v>
      </c>
      <c r="C13" s="2" t="s">
        <v>45</v>
      </c>
      <c r="E13" s="2">
        <v>1</v>
      </c>
      <c r="F13" s="2" t="s">
        <v>46</v>
      </c>
      <c r="G13" s="3">
        <v>1.5</v>
      </c>
      <c r="H13" s="3">
        <v>1.2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CD98-666E-48AA-A78C-29417BF3923D}">
  <dimension ref="A1:F8"/>
  <sheetViews>
    <sheetView tabSelected="1" workbookViewId="0">
      <selection activeCell="F1" sqref="F1"/>
    </sheetView>
  </sheetViews>
  <sheetFormatPr defaultRowHeight="12.6" x14ac:dyDescent="0.3"/>
  <cols>
    <col min="1" max="1" width="7.5546875" style="2" bestFit="1" customWidth="1"/>
    <col min="2" max="2" width="11.6640625" style="8" bestFit="1" customWidth="1"/>
    <col min="3" max="3" width="15" style="2" bestFit="1" customWidth="1"/>
    <col min="4" max="5" width="13.88671875" style="2" bestFit="1" customWidth="1"/>
    <col min="6" max="6" width="16.109375" style="2" bestFit="1" customWidth="1"/>
    <col min="7" max="16384" width="8.88671875" style="2"/>
  </cols>
  <sheetData>
    <row r="1" spans="1:6" x14ac:dyDescent="0.3">
      <c r="A1" s="5" t="s">
        <v>0</v>
      </c>
      <c r="B1" s="7" t="s">
        <v>59</v>
      </c>
      <c r="C1" s="5" t="s">
        <v>60</v>
      </c>
      <c r="D1" s="5" t="s">
        <v>61</v>
      </c>
      <c r="E1" s="5" t="s">
        <v>65</v>
      </c>
      <c r="F1" s="5" t="s">
        <v>161</v>
      </c>
    </row>
    <row r="2" spans="1:6" x14ac:dyDescent="0.3">
      <c r="A2" s="5" t="s">
        <v>0</v>
      </c>
      <c r="B2" s="7" t="s">
        <v>62</v>
      </c>
      <c r="C2" s="5" t="s">
        <v>63</v>
      </c>
      <c r="D2" s="5" t="s">
        <v>64</v>
      </c>
      <c r="E2" s="5" t="s">
        <v>66</v>
      </c>
      <c r="F2" s="5" t="s">
        <v>67</v>
      </c>
    </row>
    <row r="3" spans="1:6" x14ac:dyDescent="0.3">
      <c r="A3" s="5" t="s">
        <v>15</v>
      </c>
      <c r="B3" s="7" t="s">
        <v>16</v>
      </c>
      <c r="C3" s="5" t="s">
        <v>16</v>
      </c>
      <c r="D3" s="5" t="s">
        <v>16</v>
      </c>
      <c r="E3" s="5" t="s">
        <v>17</v>
      </c>
      <c r="F3" s="5" t="s">
        <v>17</v>
      </c>
    </row>
    <row r="4" spans="1:6" x14ac:dyDescent="0.3">
      <c r="A4" s="2">
        <v>1</v>
      </c>
      <c r="B4" s="8" t="s">
        <v>140</v>
      </c>
      <c r="C4" s="2" t="s">
        <v>68</v>
      </c>
      <c r="D4" s="2" t="s">
        <v>154</v>
      </c>
      <c r="E4" s="2">
        <v>1</v>
      </c>
      <c r="F4" s="2">
        <v>10</v>
      </c>
    </row>
    <row r="5" spans="1:6" x14ac:dyDescent="0.3">
      <c r="A5" s="2">
        <v>2</v>
      </c>
      <c r="B5" s="8" t="s">
        <v>141</v>
      </c>
      <c r="C5" s="2" t="s">
        <v>71</v>
      </c>
      <c r="D5" s="2" t="s">
        <v>155</v>
      </c>
      <c r="E5" s="2">
        <v>2</v>
      </c>
      <c r="F5" s="2">
        <v>20</v>
      </c>
    </row>
    <row r="6" spans="1:6" x14ac:dyDescent="0.3">
      <c r="A6" s="2">
        <v>3</v>
      </c>
      <c r="B6" s="8" t="s">
        <v>142</v>
      </c>
      <c r="C6" s="2" t="s">
        <v>69</v>
      </c>
      <c r="E6" s="2">
        <v>3</v>
      </c>
      <c r="F6" s="2">
        <v>30</v>
      </c>
    </row>
    <row r="7" spans="1:6" x14ac:dyDescent="0.3">
      <c r="A7" s="2">
        <v>4</v>
      </c>
      <c r="B7" s="8" t="s">
        <v>143</v>
      </c>
      <c r="C7" s="2" t="s">
        <v>72</v>
      </c>
      <c r="D7" s="2" t="s">
        <v>153</v>
      </c>
      <c r="E7" s="2">
        <v>4</v>
      </c>
      <c r="F7" s="2">
        <v>50</v>
      </c>
    </row>
    <row r="8" spans="1:6" x14ac:dyDescent="0.3">
      <c r="A8" s="2">
        <v>5</v>
      </c>
      <c r="B8" s="8" t="s">
        <v>144</v>
      </c>
      <c r="C8" s="2" t="s">
        <v>70</v>
      </c>
      <c r="D8" s="2" t="s">
        <v>156</v>
      </c>
      <c r="E8" s="2">
        <v>5</v>
      </c>
      <c r="F8" s="2">
        <v>100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9730-D396-46FC-BD5F-7EB7D15222D8}">
  <dimension ref="A1:O15"/>
  <sheetViews>
    <sheetView workbookViewId="0">
      <selection activeCell="H2" sqref="H2"/>
    </sheetView>
  </sheetViews>
  <sheetFormatPr defaultColWidth="7.6640625" defaultRowHeight="12.6" x14ac:dyDescent="0.3"/>
  <cols>
    <col min="1" max="1" width="7.5546875" style="2" bestFit="1" customWidth="1"/>
    <col min="2" max="2" width="12.77734375" style="2" bestFit="1" customWidth="1"/>
    <col min="3" max="3" width="9.5546875" style="2" bestFit="1" customWidth="1"/>
    <col min="4" max="4" width="16.33203125" style="2" bestFit="1" customWidth="1"/>
    <col min="5" max="5" width="13.88671875" style="2" bestFit="1" customWidth="1"/>
    <col min="6" max="6" width="15" style="2" bestFit="1" customWidth="1"/>
    <col min="7" max="7" width="17.21875" style="2" bestFit="1" customWidth="1"/>
    <col min="8" max="8" width="15" style="2" bestFit="1" customWidth="1"/>
    <col min="9" max="9" width="16.109375" style="2" bestFit="1" customWidth="1"/>
    <col min="10" max="10" width="7.5546875" style="2" bestFit="1" customWidth="1"/>
    <col min="11" max="13" width="10.21875" style="2" bestFit="1" customWidth="1"/>
    <col min="14" max="14" width="10.5546875" style="2" bestFit="1" customWidth="1"/>
    <col min="15" max="15" width="6.33203125" style="2" bestFit="1" customWidth="1"/>
    <col min="16" max="16384" width="7.6640625" style="2"/>
  </cols>
  <sheetData>
    <row r="1" spans="1:15" x14ac:dyDescent="0.3">
      <c r="A1" s="5" t="s">
        <v>157</v>
      </c>
      <c r="B1" s="5" t="s">
        <v>1</v>
      </c>
      <c r="C1" s="5" t="s">
        <v>9</v>
      </c>
      <c r="D1" s="5" t="s">
        <v>2</v>
      </c>
      <c r="E1" s="5" t="s">
        <v>3</v>
      </c>
      <c r="F1" s="5" t="s">
        <v>158</v>
      </c>
      <c r="G1" s="5" t="s">
        <v>85</v>
      </c>
      <c r="H1" s="5" t="s">
        <v>4</v>
      </c>
      <c r="I1" s="5" t="s">
        <v>5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120</v>
      </c>
      <c r="O1" s="6" t="s">
        <v>18</v>
      </c>
    </row>
    <row r="2" spans="1:15" x14ac:dyDescent="0.3">
      <c r="A2" s="5" t="s">
        <v>0</v>
      </c>
      <c r="B2" s="5" t="s">
        <v>10</v>
      </c>
      <c r="C2" s="5" t="s">
        <v>14</v>
      </c>
      <c r="D2" s="5" t="s">
        <v>11</v>
      </c>
      <c r="E2" s="5" t="s">
        <v>12</v>
      </c>
      <c r="F2" s="5" t="s">
        <v>159</v>
      </c>
      <c r="G2" s="5" t="s">
        <v>88</v>
      </c>
      <c r="H2" s="5" t="s">
        <v>160</v>
      </c>
      <c r="I2" s="5" t="s">
        <v>131</v>
      </c>
      <c r="J2" s="5" t="s">
        <v>13</v>
      </c>
      <c r="K2" s="5" t="s">
        <v>82</v>
      </c>
      <c r="L2" s="5" t="s">
        <v>83</v>
      </c>
      <c r="M2" s="5" t="s">
        <v>84</v>
      </c>
      <c r="N2" s="5" t="s">
        <v>136</v>
      </c>
      <c r="O2" s="6"/>
    </row>
    <row r="3" spans="1:15" x14ac:dyDescent="0.3">
      <c r="A3" s="5" t="s">
        <v>15</v>
      </c>
      <c r="B3" s="5" t="s">
        <v>16</v>
      </c>
      <c r="C3" s="5" t="s">
        <v>15</v>
      </c>
      <c r="D3" s="5" t="s">
        <v>16</v>
      </c>
      <c r="E3" s="5" t="s">
        <v>15</v>
      </c>
      <c r="F3" s="5" t="s">
        <v>15</v>
      </c>
      <c r="G3" s="5" t="s">
        <v>17</v>
      </c>
      <c r="H3" s="5" t="s">
        <v>15</v>
      </c>
      <c r="I3" s="5" t="s">
        <v>15</v>
      </c>
      <c r="J3" s="5" t="s">
        <v>15</v>
      </c>
      <c r="K3" s="5" t="s">
        <v>58</v>
      </c>
      <c r="L3" s="5" t="s">
        <v>58</v>
      </c>
      <c r="M3" s="5" t="s">
        <v>58</v>
      </c>
      <c r="N3" s="5" t="s">
        <v>133</v>
      </c>
      <c r="O3" s="6"/>
    </row>
    <row r="4" spans="1:15" x14ac:dyDescent="0.3">
      <c r="A4" s="2">
        <v>1</v>
      </c>
      <c r="B4" s="2" t="str">
        <f>C4&amp;INDEX(ContainerMaterial!B:B,MATCH(E4,ContainerMaterial!C:C,0))&amp;INDEX(ContainerCapacity!B:B,MATCH(F4,ContainerCapacity!C:C,0))</f>
        <v>10103</v>
      </c>
      <c r="C4" s="2">
        <v>1</v>
      </c>
      <c r="D4" s="2" t="s">
        <v>20</v>
      </c>
      <c r="E4" s="2" t="s">
        <v>21</v>
      </c>
      <c r="F4" s="2" t="s">
        <v>69</v>
      </c>
      <c r="G4" s="2">
        <v>0.6</v>
      </c>
      <c r="H4" s="2">
        <f>ROUND(INDEX(ContainerMaterial!E:E,MATCH(E4,ContainerMaterial!C:C,0))*INDEX(ContainerCapacity!E:E,MATCH(F4,ContainerCapacity!C:C,0)),0)</f>
        <v>3</v>
      </c>
      <c r="I4" s="2">
        <v>50</v>
      </c>
      <c r="J4" s="2">
        <v>500</v>
      </c>
      <c r="K4" s="3">
        <v>1.5</v>
      </c>
      <c r="L4" s="3">
        <v>1.5</v>
      </c>
      <c r="M4" s="3">
        <v>1.5</v>
      </c>
      <c r="N4" s="2" t="s">
        <v>150</v>
      </c>
    </row>
    <row r="5" spans="1:15" x14ac:dyDescent="0.3">
      <c r="A5" s="2">
        <v>2</v>
      </c>
      <c r="B5" s="2" t="str">
        <f>C5&amp;INDEX(ContainerMaterial!B:B,MATCH(E5,ContainerMaterial!C:C,0))&amp;INDEX(ContainerCapacity!B:B,MATCH(F5,ContainerCapacity!C:C,0))</f>
        <v>10202</v>
      </c>
      <c r="C5" s="2">
        <v>1</v>
      </c>
      <c r="D5" s="2" t="s">
        <v>24</v>
      </c>
      <c r="E5" s="2" t="s">
        <v>25</v>
      </c>
      <c r="F5" s="2" t="s">
        <v>71</v>
      </c>
      <c r="G5" s="2">
        <v>0.4</v>
      </c>
      <c r="H5" s="2">
        <f>ROUND(INDEX(ContainerMaterial!E:E,MATCH(E5,ContainerMaterial!C:C,0))*INDEX(ContainerCapacity!E:E,MATCH(F5,ContainerCapacity!C:C,0)),0)</f>
        <v>3</v>
      </c>
      <c r="I5" s="2">
        <v>20</v>
      </c>
      <c r="J5" s="2">
        <v>100</v>
      </c>
      <c r="K5" s="3">
        <v>1.5</v>
      </c>
      <c r="L5" s="3">
        <v>1</v>
      </c>
      <c r="M5" s="3">
        <v>1.5</v>
      </c>
    </row>
    <row r="6" spans="1:15" x14ac:dyDescent="0.3">
      <c r="A6" s="2">
        <v>3</v>
      </c>
      <c r="B6" s="2" t="str">
        <f>C6&amp;INDEX(ContainerMaterial!B:B,MATCH(E6,ContainerMaterial!C:C,0))&amp;INDEX(ContainerCapacity!B:B,MATCH(F6,ContainerCapacity!C:C,0))</f>
        <v>20302</v>
      </c>
      <c r="C6" s="2">
        <v>2</v>
      </c>
      <c r="D6" s="2" t="s">
        <v>28</v>
      </c>
      <c r="E6" s="2" t="s">
        <v>29</v>
      </c>
      <c r="F6" s="2" t="s">
        <v>71</v>
      </c>
      <c r="G6" s="2">
        <v>0.8</v>
      </c>
      <c r="H6" s="2">
        <f>ROUND(INDEX(ContainerMaterial!E:E,MATCH(E6,ContainerMaterial!C:C,0))*INDEX(ContainerCapacity!E:E,MATCH(F6,ContainerCapacity!C:C,0)),0)</f>
        <v>1</v>
      </c>
      <c r="I6" s="2">
        <v>30</v>
      </c>
      <c r="J6" s="2">
        <v>1200</v>
      </c>
      <c r="K6" s="3">
        <v>2</v>
      </c>
      <c r="L6" s="3">
        <v>1.5</v>
      </c>
      <c r="M6" s="3">
        <v>2</v>
      </c>
    </row>
    <row r="7" spans="1:15" x14ac:dyDescent="0.3">
      <c r="A7" s="2">
        <v>4</v>
      </c>
      <c r="B7" s="2" t="str">
        <f>C7&amp;INDEX(ContainerMaterial!B:B,MATCH(E7,ContainerMaterial!C:C,0))&amp;INDEX(ContainerCapacity!B:B,MATCH(F7,ContainerCapacity!C:C,0))</f>
        <v>20401</v>
      </c>
      <c r="C7" s="2">
        <v>2</v>
      </c>
      <c r="D7" s="2" t="s">
        <v>30</v>
      </c>
      <c r="E7" s="2" t="s">
        <v>31</v>
      </c>
      <c r="F7" s="2" t="s">
        <v>26</v>
      </c>
      <c r="G7" s="2">
        <v>0.3</v>
      </c>
      <c r="H7" s="2">
        <f>ROUND(INDEX(ContainerMaterial!E:E,MATCH(E7,ContainerMaterial!C:C,0))*INDEX(ContainerCapacity!E:E,MATCH(F7,ContainerCapacity!C:C,0)),0)</f>
        <v>1</v>
      </c>
      <c r="I7" s="2">
        <v>10</v>
      </c>
      <c r="J7" s="2">
        <v>200</v>
      </c>
      <c r="K7" s="3">
        <v>1</v>
      </c>
      <c r="L7" s="3">
        <v>1.5</v>
      </c>
      <c r="M7" s="3">
        <v>1</v>
      </c>
    </row>
    <row r="8" spans="1:15" x14ac:dyDescent="0.3">
      <c r="A8" s="2">
        <v>5</v>
      </c>
      <c r="B8" s="2" t="str">
        <f>C8&amp;INDEX(ContainerMaterial!B:B,MATCH(E8,ContainerMaterial!C:C,0))&amp;INDEX(ContainerCapacity!B:B,MATCH(F8,ContainerCapacity!C:C,0))</f>
        <v>30505</v>
      </c>
      <c r="C8" s="2">
        <v>3</v>
      </c>
      <c r="D8" s="2" t="s">
        <v>87</v>
      </c>
      <c r="E8" s="2" t="s">
        <v>33</v>
      </c>
      <c r="F8" s="2" t="s">
        <v>34</v>
      </c>
      <c r="G8" s="2">
        <v>1.2</v>
      </c>
      <c r="H8" s="2">
        <f>ROUND(INDEX(ContainerMaterial!E:E,MATCH(E8,ContainerMaterial!C:C,0))*INDEX(ContainerCapacity!E:E,MATCH(F8,ContainerCapacity!C:C,0)),0)</f>
        <v>6</v>
      </c>
      <c r="I8" s="2">
        <v>100</v>
      </c>
      <c r="J8" s="2">
        <v>2500</v>
      </c>
      <c r="K8" s="3">
        <v>3.5</v>
      </c>
      <c r="L8" s="3">
        <v>5</v>
      </c>
      <c r="M8" s="3">
        <v>3.5</v>
      </c>
      <c r="N8" s="2" t="s">
        <v>151</v>
      </c>
    </row>
    <row r="9" spans="1:15" x14ac:dyDescent="0.3">
      <c r="A9" s="2">
        <v>6</v>
      </c>
      <c r="B9" s="2" t="str">
        <f>C9&amp;INDEX(ContainerMaterial!B:B,MATCH(E9,ContainerMaterial!C:C,0))&amp;INDEX(ContainerCapacity!B:B,MATCH(F9,ContainerCapacity!C:C,0))</f>
        <v>40603</v>
      </c>
      <c r="C9" s="2">
        <v>4</v>
      </c>
      <c r="D9" s="2" t="s">
        <v>36</v>
      </c>
      <c r="E9" s="2" t="s">
        <v>37</v>
      </c>
      <c r="F9" s="2" t="s">
        <v>22</v>
      </c>
      <c r="G9" s="2">
        <v>1.5</v>
      </c>
      <c r="H9" s="2">
        <f>ROUND(INDEX(ContainerMaterial!E:E,MATCH(E9,ContainerMaterial!C:C,0))*INDEX(ContainerCapacity!E:E,MATCH(F9,ContainerCapacity!C:C,0)),0)</f>
        <v>3</v>
      </c>
      <c r="I9" s="2">
        <v>80</v>
      </c>
      <c r="J9" s="2">
        <v>4000</v>
      </c>
      <c r="K9" s="3">
        <v>3</v>
      </c>
      <c r="L9" s="3">
        <v>2</v>
      </c>
      <c r="M9" s="3">
        <v>3.5</v>
      </c>
    </row>
    <row r="10" spans="1:15" x14ac:dyDescent="0.3">
      <c r="A10" s="2">
        <v>7</v>
      </c>
      <c r="B10" s="2" t="str">
        <f>C10&amp;INDEX(ContainerMaterial!B:B,MATCH(E10,ContainerMaterial!C:C,0))&amp;INDEX(ContainerCapacity!B:B,MATCH(F10,ContainerCapacity!C:C,0))</f>
        <v>50702</v>
      </c>
      <c r="C10" s="2">
        <v>5</v>
      </c>
      <c r="D10" s="2" t="s">
        <v>38</v>
      </c>
      <c r="E10" s="2" t="s">
        <v>39</v>
      </c>
      <c r="F10" s="2" t="s">
        <v>71</v>
      </c>
      <c r="G10" s="2">
        <v>2</v>
      </c>
      <c r="H10" s="2">
        <f>ROUND(INDEX(ContainerMaterial!E:E,MATCH(E10,ContainerMaterial!C:C,0))*INDEX(ContainerCapacity!E:E,MATCH(F10,ContainerCapacity!C:C,0)),0)</f>
        <v>2</v>
      </c>
      <c r="I10" s="2">
        <v>60</v>
      </c>
      <c r="J10" s="2">
        <v>8000</v>
      </c>
      <c r="K10" s="3">
        <v>1.5</v>
      </c>
      <c r="L10" s="3">
        <v>2</v>
      </c>
      <c r="M10" s="3">
        <v>1.5</v>
      </c>
    </row>
    <row r="11" spans="1:15" x14ac:dyDescent="0.3">
      <c r="A11" s="2">
        <v>8</v>
      </c>
      <c r="B11" s="2" t="str">
        <f>C11&amp;INDEX(ContainerMaterial!B:B,MATCH(E11,ContainerMaterial!C:C,0))&amp;INDEX(ContainerCapacity!B:B,MATCH(F11,ContainerCapacity!C:C,0))</f>
        <v>50802</v>
      </c>
      <c r="C11" s="2">
        <v>5</v>
      </c>
      <c r="D11" s="2" t="s">
        <v>41</v>
      </c>
      <c r="E11" s="2" t="s">
        <v>42</v>
      </c>
      <c r="F11" s="2" t="s">
        <v>71</v>
      </c>
      <c r="G11" s="2">
        <v>2.5</v>
      </c>
      <c r="H11" s="2">
        <f>ROUND(INDEX(ContainerMaterial!E:E,MATCH(E11,ContainerMaterial!C:C,0))*INDEX(ContainerCapacity!E:E,MATCH(F11,ContainerCapacity!C:C,0)),0)</f>
        <v>0</v>
      </c>
      <c r="I11" s="2">
        <v>200</v>
      </c>
      <c r="J11" s="2">
        <v>25000</v>
      </c>
      <c r="K11" s="3">
        <v>2</v>
      </c>
      <c r="L11" s="3">
        <v>2</v>
      </c>
      <c r="M11" s="3">
        <v>2</v>
      </c>
    </row>
    <row r="12" spans="1:15" x14ac:dyDescent="0.3">
      <c r="A12" s="2">
        <v>9</v>
      </c>
      <c r="B12" s="2" t="str">
        <f>C12&amp;INDEX(ContainerMaterial!B:B,MATCH(E12,ContainerMaterial!C:C,0))&amp;INDEX(ContainerCapacity!B:B,MATCH(F12,ContainerCapacity!C:C,0))</f>
        <v>50904</v>
      </c>
      <c r="C12" s="2">
        <v>5</v>
      </c>
      <c r="D12" s="2" t="s">
        <v>43</v>
      </c>
      <c r="E12" s="2" t="s">
        <v>44</v>
      </c>
      <c r="F12" s="2" t="s">
        <v>72</v>
      </c>
      <c r="G12" s="2">
        <v>1</v>
      </c>
      <c r="H12" s="2">
        <f>ROUND(INDEX(ContainerMaterial!E:E,MATCH(E12,ContainerMaterial!C:C,0))*INDEX(ContainerCapacity!E:E,MATCH(F12,ContainerCapacity!C:C,0)),0)</f>
        <v>8</v>
      </c>
      <c r="I12" s="2">
        <v>70</v>
      </c>
      <c r="J12" s="2">
        <v>3500</v>
      </c>
      <c r="K12" s="3">
        <v>2.5</v>
      </c>
      <c r="L12" s="3">
        <v>4</v>
      </c>
      <c r="M12" s="3">
        <v>3</v>
      </c>
    </row>
    <row r="13" spans="1:15" x14ac:dyDescent="0.3">
      <c r="A13" s="2">
        <v>10</v>
      </c>
      <c r="B13" s="2" t="str">
        <f>C13&amp;INDEX(ContainerMaterial!B:B,MATCH(E13,ContainerMaterial!C:C,0))&amp;INDEX(ContainerCapacity!B:B,MATCH(F13,ContainerCapacity!C:C,0))</f>
        <v>61001</v>
      </c>
      <c r="C13" s="2">
        <v>6</v>
      </c>
      <c r="D13" s="2" t="s">
        <v>86</v>
      </c>
      <c r="E13" s="2" t="s">
        <v>45</v>
      </c>
      <c r="F13" s="2" t="s">
        <v>26</v>
      </c>
      <c r="G13" s="2">
        <v>1</v>
      </c>
      <c r="H13" s="2">
        <f>ROUND(INDEX(ContainerMaterial!E:E,MATCH(E13,ContainerMaterial!C:C,0))*INDEX(ContainerCapacity!E:E,MATCH(F13,ContainerCapacity!C:C,0)),0)</f>
        <v>1</v>
      </c>
      <c r="I13" s="2">
        <v>500</v>
      </c>
      <c r="J13" s="2">
        <v>20000</v>
      </c>
      <c r="K13" s="3">
        <v>1.5</v>
      </c>
      <c r="L13" s="3">
        <v>1</v>
      </c>
      <c r="M13" s="3">
        <v>1.5</v>
      </c>
    </row>
    <row r="14" spans="1:15" x14ac:dyDescent="0.3">
      <c r="A14" s="2">
        <v>11</v>
      </c>
      <c r="B14" s="2" t="str">
        <f>C14&amp;INDEX(ContainerMaterial!B:B,MATCH(E14,ContainerMaterial!C:C,0))&amp;INDEX(ContainerCapacity!B:B,MATCH(F14,ContainerCapacity!C:C,0))</f>
        <v>61003</v>
      </c>
      <c r="C14" s="2">
        <v>6</v>
      </c>
      <c r="D14" s="2" t="s">
        <v>90</v>
      </c>
      <c r="E14" s="2" t="s">
        <v>45</v>
      </c>
      <c r="F14" s="2" t="s">
        <v>22</v>
      </c>
      <c r="G14" s="2">
        <v>1</v>
      </c>
      <c r="H14" s="2">
        <f>ROUND(INDEX(ContainerMaterial!E:E,MATCH(E14,ContainerMaterial!C:C,0))*INDEX(ContainerCapacity!E:E,MATCH(F14,ContainerCapacity!C:C,0)),0)</f>
        <v>3</v>
      </c>
      <c r="I14" s="2">
        <v>500</v>
      </c>
      <c r="J14" s="2">
        <v>35000</v>
      </c>
      <c r="K14" s="3">
        <v>3</v>
      </c>
      <c r="L14" s="3">
        <v>3</v>
      </c>
      <c r="M14" s="3">
        <v>3</v>
      </c>
    </row>
    <row r="15" spans="1:15" x14ac:dyDescent="0.3">
      <c r="A15" s="2">
        <v>12</v>
      </c>
      <c r="B15" s="2" t="str">
        <f>C15&amp;INDEX(ContainerMaterial!B:B,MATCH(E15,ContainerMaterial!C:C,0))&amp;INDEX(ContainerCapacity!B:B,MATCH(F15,ContainerCapacity!C:C,0))</f>
        <v>61004</v>
      </c>
      <c r="C15" s="2">
        <v>6</v>
      </c>
      <c r="D15" s="2" t="s">
        <v>89</v>
      </c>
      <c r="E15" s="2" t="s">
        <v>45</v>
      </c>
      <c r="F15" s="2" t="s">
        <v>72</v>
      </c>
      <c r="G15" s="2">
        <v>1</v>
      </c>
      <c r="H15" s="2">
        <f>ROUND(INDEX(ContainerMaterial!E:E,MATCH(E15,ContainerMaterial!C:C,0))*INDEX(ContainerCapacity!E:E,MATCH(F15,ContainerCapacity!C:C,0)),0)</f>
        <v>4</v>
      </c>
      <c r="I15" s="2">
        <v>500</v>
      </c>
      <c r="J15" s="2">
        <v>55000</v>
      </c>
      <c r="K15" s="3">
        <v>4</v>
      </c>
      <c r="L15" s="3">
        <v>4</v>
      </c>
      <c r="M15" s="3">
        <v>4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#Info</vt:lpstr>
      <vt:lpstr>ContainerMaterial</vt:lpstr>
      <vt:lpstr>ContainerCapacity</vt:lpstr>
      <vt:lpstr>ContainerData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Thirza Chen</dc:creator>
  <cp:lastModifiedBy>Thirza Chen</cp:lastModifiedBy>
  <dcterms:created xsi:type="dcterms:W3CDTF">2026-01-20T09:49:43Z</dcterms:created>
  <dcterms:modified xsi:type="dcterms:W3CDTF">2026-02-11T03:41:46Z</dcterms:modified>
</cp:coreProperties>
</file>