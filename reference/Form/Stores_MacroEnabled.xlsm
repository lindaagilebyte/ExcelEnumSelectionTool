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\ExcelEnumSelectionTool\reference\Form\"/>
    </mc:Choice>
  </mc:AlternateContent>
  <xr:revisionPtr revIDLastSave="0" documentId="8_{4C0A6E1B-87B4-4B85-B9F6-106FD82CA886}" xr6:coauthVersionLast="47" xr6:coauthVersionMax="47" xr10:uidLastSave="{00000000-0000-0000-0000-000000000000}"/>
  <bookViews>
    <workbookView xWindow="-120" yWindow="-120" windowWidth="29040" windowHeight="15720" activeTab="1" xr2:uid="{E5E47801-C43D-4B4D-802B-23CF1146FAE0}"/>
  </bookViews>
  <sheets>
    <sheet name="#Info" sheetId="1" r:id="rId1"/>
    <sheet name="StoreData" sheetId="4" r:id="rId2"/>
    <sheet name="MaterialStoresGoods" sheetId="2" r:id="rId3"/>
  </sheets>
  <functionGroups builtInGroupCount="19"/>
  <externalReferences>
    <externalReference r:id="rId4"/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4" l="1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4" i="4"/>
  <c r="G22" i="2"/>
  <c r="G26" i="2"/>
  <c r="G8" i="2"/>
  <c r="G9" i="2"/>
  <c r="G27" i="2"/>
  <c r="G53" i="2"/>
  <c r="G15" i="2"/>
  <c r="G21" i="2"/>
  <c r="G16" i="2"/>
  <c r="G29" i="2"/>
  <c r="G43" i="2"/>
  <c r="G44" i="2"/>
  <c r="G36" i="2"/>
  <c r="G58" i="2"/>
  <c r="G48" i="2"/>
  <c r="G51" i="2"/>
  <c r="G59" i="2"/>
  <c r="G4" i="2"/>
  <c r="G49" i="2"/>
  <c r="G50" i="2"/>
  <c r="G5" i="2"/>
  <c r="G7" i="2"/>
  <c r="G39" i="2"/>
  <c r="D5" i="2"/>
  <c r="D6" i="2"/>
  <c r="D7" i="2"/>
  <c r="D8" i="2"/>
  <c r="D9" i="2"/>
  <c r="D10" i="2"/>
  <c r="D11" i="2"/>
  <c r="D12" i="2"/>
  <c r="D13" i="2"/>
  <c r="D14" i="2"/>
  <c r="D15" i="2"/>
  <c r="D16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7" i="2"/>
  <c r="D58" i="2"/>
  <c r="D59" i="2"/>
  <c r="D56" i="2"/>
  <c r="G37" i="2" l="1"/>
  <c r="G6" i="2"/>
  <c r="G55" i="2"/>
  <c r="G14" i="2"/>
  <c r="G41" i="2"/>
  <c r="G23" i="2"/>
  <c r="G12" i="2"/>
  <c r="G33" i="2"/>
  <c r="G17" i="2"/>
  <c r="G56" i="2"/>
  <c r="G13" i="2"/>
  <c r="G54" i="2"/>
  <c r="G28" i="2"/>
  <c r="G19" i="2"/>
  <c r="G11" i="2"/>
  <c r="G10" i="2"/>
  <c r="G40" i="2"/>
  <c r="G35" i="2"/>
  <c r="G25" i="2"/>
  <c r="G31" i="2"/>
  <c r="G34" i="2"/>
  <c r="G52" i="2"/>
  <c r="G24" i="2"/>
  <c r="G18" i="2"/>
  <c r="G57" i="2"/>
  <c r="G38" i="2"/>
  <c r="G42" i="2"/>
  <c r="G46" i="2"/>
  <c r="G45" i="2"/>
  <c r="G32" i="2"/>
  <c r="G20" i="2"/>
  <c r="G47" i="2"/>
  <c r="G30" i="2"/>
  <c r="D33" i="2"/>
  <c r="D17" i="2"/>
  <c r="D4" i="2"/>
</calcChain>
</file>

<file path=xl/sharedStrings.xml><?xml version="1.0" encoding="utf-8"?>
<sst xmlns="http://schemas.openxmlformats.org/spreadsheetml/2006/main" count="470" uniqueCount="205">
  <si>
    <t>包含商品開放購買(進貨)的條件、在哪區的商人會進貨、專屬區域(非專屬區域可能可以透過跑腿買到)</t>
    <phoneticPr fontId="2" type="noConversion"/>
  </si>
  <si>
    <t>物品商店表格</t>
    <phoneticPr fontId="2" type="noConversion"/>
  </si>
  <si>
    <t>序號</t>
    <phoneticPr fontId="2" type="noConversion"/>
  </si>
  <si>
    <t>Index</t>
    <phoneticPr fontId="2" type="noConversion"/>
  </si>
  <si>
    <t>#</t>
    <phoneticPr fontId="3" type="noConversion"/>
  </si>
  <si>
    <t>uint32</t>
    <phoneticPr fontId="3" type="noConversion"/>
  </si>
  <si>
    <t>string</t>
    <phoneticPr fontId="3" type="noConversion"/>
  </si>
  <si>
    <t>StoreID</t>
    <phoneticPr fontId="2" type="noConversion"/>
  </si>
  <si>
    <t>StoreName</t>
    <phoneticPr fontId="2" type="noConversion"/>
  </si>
  <si>
    <t>District</t>
    <phoneticPr fontId="2" type="noConversion"/>
  </si>
  <si>
    <t>所在區域</t>
    <phoneticPr fontId="2" type="noConversion"/>
  </si>
  <si>
    <t>#商品名稱</t>
    <phoneticPr fontId="2" type="noConversion"/>
  </si>
  <si>
    <t>商店名稱</t>
    <phoneticPr fontId="2" type="noConversion"/>
  </si>
  <si>
    <t>商人</t>
    <phoneticPr fontId="2" type="noConversion"/>
  </si>
  <si>
    <t>Trader</t>
    <phoneticPr fontId="2" type="noConversion"/>
  </si>
  <si>
    <t>商品ID</t>
    <phoneticPr fontId="2" type="noConversion"/>
  </si>
  <si>
    <t>商店ID</t>
    <phoneticPr fontId="2" type="noConversion"/>
  </si>
  <si>
    <t>商品類型</t>
    <phoneticPr fontId="2" type="noConversion"/>
  </si>
  <si>
    <t>LevelReq</t>
  </si>
  <si>
    <t>黑鉛</t>
  </si>
  <si>
    <t>水銀</t>
  </si>
  <si>
    <t>丹砂</t>
  </si>
  <si>
    <t>曾青</t>
  </si>
  <si>
    <t>石膏</t>
  </si>
  <si>
    <t>雄黃</t>
  </si>
  <si>
    <t>[道具類型]材料</t>
  </si>
  <si>
    <t>商店類型</t>
    <phoneticPr fontId="2" type="noConversion"/>
  </si>
  <si>
    <t>StoreType</t>
    <phoneticPr fontId="2" type="noConversion"/>
  </si>
  <si>
    <t>[商店類型]現貨</t>
  </si>
  <si>
    <t>#備註</t>
    <phoneticPr fontId="2" type="noConversion"/>
  </si>
  <si>
    <t>礦場苦力</t>
  </si>
  <si>
    <t>淘沙客</t>
  </si>
  <si>
    <t>土窯翁</t>
  </si>
  <si>
    <t>野農</t>
  </si>
  <si>
    <t>採石人</t>
  </si>
  <si>
    <t>拾荒者</t>
  </si>
  <si>
    <t>燒炭人</t>
  </si>
  <si>
    <t>農戶</t>
  </si>
  <si>
    <t>[地圖區域]郭外</t>
  </si>
  <si>
    <t>硝石</t>
  </si>
  <si>
    <t>石硫黃</t>
  </si>
  <si>
    <t>鐘乳石</t>
  </si>
  <si>
    <t>黑市販子</t>
  </si>
  <si>
    <t>回收業者</t>
  </si>
  <si>
    <t>二手商</t>
  </si>
  <si>
    <t>肉販</t>
  </si>
  <si>
    <t>[商店類型]現貨</t>
    <phoneticPr fontId="2" type="noConversion"/>
  </si>
  <si>
    <t>鬼市攤主</t>
  </si>
  <si>
    <t>舊貨郎</t>
  </si>
  <si>
    <t>落魄方士</t>
  </si>
  <si>
    <t>屠戶</t>
  </si>
  <si>
    <t>最少出現週期(天)</t>
    <phoneticPr fontId="2" type="noConversion"/>
  </si>
  <si>
    <t>最長出現週期(天)</t>
    <phoneticPr fontId="2" type="noConversion"/>
  </si>
  <si>
    <t>AppearPeriod_min</t>
    <phoneticPr fontId="2" type="noConversion"/>
  </si>
  <si>
    <t>AppearPeriod_max</t>
    <phoneticPr fontId="2" type="noConversion"/>
  </si>
  <si>
    <t>uint32</t>
    <phoneticPr fontId="2" type="noConversion"/>
  </si>
  <si>
    <t>3~5天出現1次</t>
    <phoneticPr fontId="2" type="noConversion"/>
  </si>
  <si>
    <t>[商店類型]跑腿</t>
  </si>
  <si>
    <t>鬼市攤主手下</t>
    <phoneticPr fontId="2" type="noConversion"/>
  </si>
  <si>
    <t>舊貨郎小孩</t>
    <phoneticPr fontId="2" type="noConversion"/>
  </si>
  <si>
    <t>[地圖區域]南里</t>
  </si>
  <si>
    <t>1~3天出現1次</t>
    <phoneticPr fontId="2" type="noConversion"/>
  </si>
  <si>
    <t>落魄方士徒弟</t>
    <phoneticPr fontId="2" type="noConversion"/>
  </si>
  <si>
    <t>屠戶親戚</t>
    <phoneticPr fontId="2" type="noConversion"/>
  </si>
  <si>
    <t>黑市販子_跑腿</t>
    <phoneticPr fontId="2" type="noConversion"/>
  </si>
  <si>
    <t>回收業者_跑腿</t>
    <phoneticPr fontId="2" type="noConversion"/>
  </si>
  <si>
    <t>二手商_跑腿</t>
    <phoneticPr fontId="2" type="noConversion"/>
  </si>
  <si>
    <t>肉販_跑腿</t>
    <phoneticPr fontId="2" type="noConversion"/>
  </si>
  <si>
    <t>銅</t>
  </si>
  <si>
    <t>黃金</t>
  </si>
  <si>
    <t>較便宜</t>
    <phoneticPr fontId="2" type="noConversion"/>
  </si>
  <si>
    <t>較貴</t>
    <phoneticPr fontId="2" type="noConversion"/>
  </si>
  <si>
    <t>解鎖等級</t>
    <phoneticPr fontId="2" type="noConversion"/>
  </si>
  <si>
    <t>庫存上限</t>
    <phoneticPr fontId="2" type="noConversion"/>
  </si>
  <si>
    <t>補貨週期</t>
    <phoneticPr fontId="2" type="noConversion"/>
  </si>
  <si>
    <t>RefreshPeriod</t>
    <phoneticPr fontId="2" type="noConversion"/>
  </si>
  <si>
    <t>StorageMax</t>
    <phoneticPr fontId="2" type="noConversion"/>
  </si>
  <si>
    <t>白玉</t>
  </si>
  <si>
    <t>雲母</t>
  </si>
  <si>
    <t>白石英</t>
  </si>
  <si>
    <t>磁石</t>
  </si>
  <si>
    <t>殞鐵</t>
  </si>
  <si>
    <t>松煙</t>
  </si>
  <si>
    <t>空青</t>
  </si>
  <si>
    <t>寶石進口商</t>
  </si>
  <si>
    <t>工業冶煉師</t>
  </si>
  <si>
    <t>墨莊</t>
  </si>
  <si>
    <t>設備商</t>
  </si>
  <si>
    <t>溶劑商</t>
  </si>
  <si>
    <t>寶石進口商_跑腿</t>
  </si>
  <si>
    <t>工業冶煉師_跑腿</t>
  </si>
  <si>
    <t>設備商_跑腿</t>
  </si>
  <si>
    <t>波斯胡商</t>
  </si>
  <si>
    <t>金屬鋪</t>
  </si>
  <si>
    <t>文房商行</t>
  </si>
  <si>
    <t>專業爐師</t>
  </si>
  <si>
    <t>酒醋行</t>
  </si>
  <si>
    <t>建材商</t>
  </si>
  <si>
    <t>工程行</t>
    <phoneticPr fontId="2" type="noConversion"/>
  </si>
  <si>
    <t>波斯胡商僱員</t>
    <phoneticPr fontId="2" type="noConversion"/>
  </si>
  <si>
    <t>金屬鋪見習徒弟</t>
    <phoneticPr fontId="2" type="noConversion"/>
  </si>
  <si>
    <t>專業爐師兒子</t>
    <phoneticPr fontId="2" type="noConversion"/>
  </si>
  <si>
    <t>建材商女兒</t>
    <phoneticPr fontId="2" type="noConversion"/>
  </si>
  <si>
    <t>[地圖區域]西市</t>
  </si>
  <si>
    <t>2天出現1次</t>
    <phoneticPr fontId="2" type="noConversion"/>
  </si>
  <si>
    <t>消耗道具類型</t>
    <phoneticPr fontId="2" type="noConversion"/>
  </si>
  <si>
    <t>CostPropType</t>
    <phoneticPr fontId="2" type="noConversion"/>
  </si>
  <si>
    <t>CostPropID</t>
    <phoneticPr fontId="2" type="noConversion"/>
  </si>
  <si>
    <t>CostPropValue</t>
    <phoneticPr fontId="2" type="noConversion"/>
  </si>
  <si>
    <t>string</t>
    <phoneticPr fontId="2" type="noConversion"/>
  </si>
  <si>
    <t>uint32</t>
  </si>
  <si>
    <t>消耗道具ID</t>
    <phoneticPr fontId="2" type="noConversion"/>
  </si>
  <si>
    <t>LootPropType</t>
  </si>
  <si>
    <t>LootPropID</t>
  </si>
  <si>
    <t>LootPropValue</t>
  </si>
  <si>
    <t>[道具類型]資源</t>
  </si>
  <si>
    <t>商品數量(單位:分)</t>
    <phoneticPr fontId="2" type="noConversion"/>
  </si>
  <si>
    <t>同一個商品而言，需要跑腿的價格必定&gt;不需要跑腿的</t>
    <phoneticPr fontId="2" type="noConversion"/>
  </si>
  <si>
    <t>同一個區域的不同商人可能販售相同的商品，價格與庫存上限、補貨週期可能有差</t>
    <phoneticPr fontId="2" type="noConversion"/>
  </si>
  <si>
    <t>不是所有低階商品在高階商人處都要透過跑腿獲得</t>
    <phoneticPr fontId="2" type="noConversion"/>
  </si>
  <si>
    <t>新手教學區域一旦離開就回不去，其他在長安城內的區域玩家仍可透過步行等方式前往，填表時請注意此機制</t>
    <phoneticPr fontId="2" type="noConversion"/>
  </si>
  <si>
    <t>最後需要審視道具被使用的頻率高低來調整其通路</t>
    <phoneticPr fontId="2" type="noConversion"/>
  </si>
  <si>
    <t>聲望商品的表格欄位未必相同，需討論</t>
    <phoneticPr fontId="2" type="noConversion"/>
  </si>
  <si>
    <t>需要包含容器、材料、輔料的資料，這幾種商店會分開工作頁填表，但欄位務必相同，有必要可以討論</t>
    <phoneticPr fontId="2" type="noConversion"/>
  </si>
  <si>
    <t>部分商人不會每天都在，有些非常駐商人是固定週期出現，有些非常駐商人是固定範圍內隨機週期出現；但跑腿一定每天都在或必須固定週期出現且頻率要足夠高</t>
    <phoneticPr fontId="2" type="noConversion"/>
  </si>
  <si>
    <t>商人出現週期、補貨週期、等待時間是三件不同的事情，但彼此相關，填表時請注意</t>
    <phoneticPr fontId="2" type="noConversion"/>
  </si>
  <si>
    <t>原則上材料沒有貴賤之分，但要不要在商品圖上有精美與粗製濫造的差別可以在討論(本質上是同一個東西，大概就是差在有沒有打磨過去除雜質，但用於煉丹時效果一樣)</t>
    <phoneticPr fontId="2" type="noConversion"/>
  </si>
  <si>
    <t>紫石英</t>
  </si>
  <si>
    <t>赤石脂</t>
  </si>
  <si>
    <t>黃金</t>
    <phoneticPr fontId="2" type="noConversion"/>
  </si>
  <si>
    <t>皇家御用</t>
  </si>
  <si>
    <t>宮廷美容</t>
  </si>
  <si>
    <t>工程行_跑腿</t>
    <phoneticPr fontId="2" type="noConversion"/>
  </si>
  <si>
    <t>皇家御用_跑腿</t>
    <phoneticPr fontId="2" type="noConversion"/>
  </si>
  <si>
    <t>宮廷美容_跑腿</t>
    <phoneticPr fontId="2" type="noConversion"/>
  </si>
  <si>
    <t>法物流通</t>
  </si>
  <si>
    <t>宮廷採辦</t>
  </si>
  <si>
    <t>法物流通_跑腿</t>
    <phoneticPr fontId="2" type="noConversion"/>
  </si>
  <si>
    <t>宮廷採辦_跑腿</t>
    <phoneticPr fontId="2" type="noConversion"/>
  </si>
  <si>
    <t>[地圖區域]東市</t>
  </si>
  <si>
    <t>古董金石藏家</t>
  </si>
  <si>
    <t>胭脂鋪東家</t>
  </si>
  <si>
    <t>御用皇商</t>
  </si>
  <si>
    <t>香料鋪</t>
  </si>
  <si>
    <t>古董金石藏家僱員</t>
    <phoneticPr fontId="2" type="noConversion"/>
  </si>
  <si>
    <t>胭脂鋪僱員</t>
    <phoneticPr fontId="2" type="noConversion"/>
  </si>
  <si>
    <t>御用皇商僱員</t>
    <phoneticPr fontId="2" type="noConversion"/>
  </si>
  <si>
    <t>香料鋪僱員</t>
    <phoneticPr fontId="2" type="noConversion"/>
  </si>
  <si>
    <t>5天出現1次</t>
    <phoneticPr fontId="2" type="noConversion"/>
  </si>
  <si>
    <t>3天出現1次</t>
    <phoneticPr fontId="2" type="noConversion"/>
  </si>
  <si>
    <t>設定上東市貴於西市，但西市才是貿易最發達的區域，便利性上可以西市便利於東市，或用價格來促使玩家必須跨區購買東西，配合宵禁玩法</t>
    <phoneticPr fontId="2" type="noConversion"/>
  </si>
  <si>
    <t>商品在店鋪中的排序應先看解鎖等級排序再看ID排序</t>
    <phoneticPr fontId="2" type="noConversion"/>
  </si>
  <si>
    <t>停留時間(單位:小時)</t>
    <phoneticPr fontId="2" type="noConversion"/>
  </si>
  <si>
    <t>StayHour</t>
    <phoneticPr fontId="2" type="noConversion"/>
  </si>
  <si>
    <t>#</t>
    <phoneticPr fontId="2" type="noConversion"/>
  </si>
  <si>
    <t>商店名稱1</t>
    <phoneticPr fontId="2" type="noConversion"/>
  </si>
  <si>
    <t>商店名稱2</t>
  </si>
  <si>
    <t>商店名稱3</t>
  </si>
  <si>
    <t>商店名稱4</t>
  </si>
  <si>
    <t>商店名稱5</t>
  </si>
  <si>
    <t>商店名稱6</t>
  </si>
  <si>
    <t>商店名稱7</t>
  </si>
  <si>
    <t>商店名稱8</t>
  </si>
  <si>
    <t>商店名稱9</t>
  </si>
  <si>
    <t>商店名稱10</t>
  </si>
  <si>
    <t>商店名稱11</t>
  </si>
  <si>
    <t>商店名稱12</t>
  </si>
  <si>
    <t>商店名稱13</t>
  </si>
  <si>
    <t>商店名稱14</t>
  </si>
  <si>
    <t>商店名稱15</t>
  </si>
  <si>
    <t>商店名稱16</t>
  </si>
  <si>
    <t>商店名稱17</t>
  </si>
  <si>
    <t>商店名稱18</t>
  </si>
  <si>
    <t>商店名稱19</t>
  </si>
  <si>
    <t>商店名稱20</t>
  </si>
  <si>
    <t>商店名稱21</t>
  </si>
  <si>
    <t>商店名稱22</t>
  </si>
  <si>
    <t>商店名稱23</t>
  </si>
  <si>
    <t>商店名稱24</t>
  </si>
  <si>
    <t>商店名稱25</t>
  </si>
  <si>
    <t>商店名稱26</t>
  </si>
  <si>
    <t>商店名稱27</t>
  </si>
  <si>
    <t>商店名稱28</t>
  </si>
  <si>
    <t>商店名稱29</t>
  </si>
  <si>
    <t>商店名稱30</t>
  </si>
  <si>
    <t>等待小時</t>
    <phoneticPr fontId="2" type="noConversion"/>
  </si>
  <si>
    <t>WaitHours</t>
    <phoneticPr fontId="2" type="noConversion"/>
  </si>
  <si>
    <t>消耗道具數量</t>
    <phoneticPr fontId="2" type="noConversion"/>
  </si>
  <si>
    <t>商人UIPrefab</t>
    <phoneticPr fontId="2" type="noConversion"/>
  </si>
  <si>
    <t>TraderUIPrefab</t>
    <phoneticPr fontId="2" type="noConversion"/>
  </si>
  <si>
    <t>6110102</t>
  </si>
  <si>
    <t>6110101</t>
  </si>
  <si>
    <t>6120205</t>
  </si>
  <si>
    <t>6110201</t>
  </si>
  <si>
    <t>6120206</t>
  </si>
  <si>
    <t>6110202</t>
  </si>
  <si>
    <t>6120307</t>
  </si>
  <si>
    <t>6110301</t>
  </si>
  <si>
    <t>6120308</t>
  </si>
  <si>
    <t>6110302</t>
  </si>
  <si>
    <t>6110303</t>
  </si>
  <si>
    <t>6120405</t>
  </si>
  <si>
    <t>6110401</t>
  </si>
  <si>
    <t>6120406</t>
  </si>
  <si>
    <t>6110402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</si>
</sst>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新細明體"/>
      <family val="2"/>
      <charset val="136"/>
      <scheme val="minor"/>
    </font>
    <font>
      <sz val="10"/>
      <color theme="1"/>
      <name val="全字庫正宋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1" xfId="0" applyFont="1" applyBorder="1">
      <alignment vertical="center"/>
    </xf>
    <xf numFmtId="0" fontId="1" fillId="2" borderId="2" xfId="0" applyFont="1" applyFill="1" applyBorder="1">
      <alignment vertical="center"/>
    </xf>
    <xf numFmtId="0" fontId="1" fillId="3" borderId="2" xfId="0" applyFont="1" applyFill="1" applyBorder="1">
      <alignment vertical="center"/>
    </xf>
    <xf numFmtId="49" fontId="1" fillId="2" borderId="2" xfId="0" applyNumberFormat="1" applyFont="1" applyFill="1" applyBorder="1">
      <alignment vertical="center"/>
    </xf>
    <xf numFmtId="49" fontId="1" fillId="0" borderId="0" xfId="0" applyNumberFormat="1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f85608126126f9cf/&#26700;&#38754;/AlchemyPlanning/&#21015;&#33289;&#23450;&#32681;(&#20225;&#21123;&#29992;).xlsx" TargetMode="External"/><Relationship Id="rId1" Type="http://schemas.openxmlformats.org/officeDocument/2006/relationships/externalLinkPath" Target="https://d.docs.live.net/f85608126126f9cf/&#26700;&#38754;/AlchemyPlanning/&#21015;&#33289;&#23450;&#32681;(&#20225;&#21123;&#29992;)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f85608126126f9cf/&#26700;&#38754;/AlchemyPlanning/Form/Material.xlsx" TargetMode="External"/><Relationship Id="rId1" Type="http://schemas.openxmlformats.org/officeDocument/2006/relationships/externalLinkPath" Target="Materi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範例"/>
      <sheetName val="世界地圖"/>
      <sheetName val="人脈系統"/>
      <sheetName val="材料"/>
      <sheetName val="商店"/>
    </sheetNames>
    <sheetDataSet>
      <sheetData sheetId="0"/>
      <sheetData sheetId="1">
        <row r="3">
          <cell r="A3">
            <v>0</v>
          </cell>
          <cell r="B3" t="str">
            <v>[地圖區域]無</v>
          </cell>
        </row>
        <row r="4">
          <cell r="A4">
            <v>1</v>
          </cell>
          <cell r="B4" t="str">
            <v>[地圖區域]郭外</v>
          </cell>
        </row>
        <row r="5">
          <cell r="A5">
            <v>2</v>
          </cell>
          <cell r="B5" t="str">
            <v>[地圖區域]南里</v>
          </cell>
        </row>
        <row r="6">
          <cell r="A6">
            <v>3</v>
          </cell>
          <cell r="B6" t="str">
            <v>[地圖區域]西市</v>
          </cell>
        </row>
        <row r="7">
          <cell r="A7">
            <v>4</v>
          </cell>
          <cell r="B7" t="str">
            <v>[地圖區域]東市</v>
          </cell>
        </row>
      </sheetData>
      <sheetData sheetId="2"/>
      <sheetData sheetId="3"/>
      <sheetData sheetId="4">
        <row r="3">
          <cell r="E3">
            <v>0</v>
          </cell>
          <cell r="F3" t="str">
            <v>[商店類型]無</v>
          </cell>
        </row>
        <row r="4">
          <cell r="E4">
            <v>1</v>
          </cell>
          <cell r="F4" t="str">
            <v>[商店類型]現貨</v>
          </cell>
        </row>
        <row r="5">
          <cell r="E5">
            <v>2</v>
          </cell>
          <cell r="F5" t="str">
            <v>[商店類型]跑腿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#Info"/>
      <sheetName val="Element"/>
      <sheetName val="YinYang"/>
      <sheetName val="MaterialState"/>
      <sheetName val="Material"/>
      <sheetName val="#備份"/>
      <sheetName val="PestleMortar"/>
    </sheetNames>
    <sheetDataSet>
      <sheetData sheetId="0"/>
      <sheetData sheetId="1"/>
      <sheetData sheetId="2"/>
      <sheetData sheetId="3"/>
      <sheetData sheetId="4">
        <row r="1">
          <cell r="B1" t="str">
            <v>#名稱</v>
          </cell>
          <cell r="C1" t="str">
            <v>材料ID</v>
          </cell>
          <cell r="E1" t="str">
            <v>材料顏色</v>
          </cell>
        </row>
        <row r="2">
          <cell r="B2" t="str">
            <v>#</v>
          </cell>
          <cell r="C2" t="str">
            <v>MaterialID</v>
          </cell>
          <cell r="E2" t="str">
            <v>ColorHex</v>
          </cell>
        </row>
        <row r="3">
          <cell r="B3"/>
          <cell r="C3" t="str">
            <v>string</v>
          </cell>
          <cell r="E3" t="str">
            <v>string</v>
          </cell>
        </row>
        <row r="4">
          <cell r="B4" t="str">
            <v>黑鉛</v>
          </cell>
          <cell r="C4" t="str">
            <v>101001</v>
          </cell>
          <cell r="E4" t="str">
            <v>2F353B</v>
          </cell>
        </row>
        <row r="5">
          <cell r="B5" t="str">
            <v>水銀</v>
          </cell>
          <cell r="C5" t="str">
            <v>101002</v>
          </cell>
          <cell r="E5" t="str">
            <v>E5E4E2</v>
          </cell>
        </row>
        <row r="6">
          <cell r="B6" t="str">
            <v>丹砂</v>
          </cell>
          <cell r="C6" t="str">
            <v>101003</v>
          </cell>
          <cell r="E6" t="str">
            <v>E34234</v>
          </cell>
        </row>
        <row r="7">
          <cell r="B7" t="str">
            <v>曾青</v>
          </cell>
          <cell r="C7" t="str">
            <v>101004</v>
          </cell>
          <cell r="E7" t="str">
            <v>40E0D0</v>
          </cell>
        </row>
        <row r="8">
          <cell r="B8" t="str">
            <v>石膏</v>
          </cell>
          <cell r="C8" t="str">
            <v>101005</v>
          </cell>
          <cell r="E8" t="str">
            <v>FFFFFF</v>
          </cell>
        </row>
        <row r="9">
          <cell r="B9" t="str">
            <v>雄黃</v>
          </cell>
          <cell r="C9" t="str">
            <v>101006</v>
          </cell>
          <cell r="E9" t="str">
            <v>FFA500</v>
          </cell>
        </row>
        <row r="10">
          <cell r="B10" t="str">
            <v>硝石</v>
          </cell>
          <cell r="C10" t="str">
            <v>102001</v>
          </cell>
          <cell r="E10" t="str">
            <v>EDEFF2</v>
          </cell>
        </row>
        <row r="11">
          <cell r="B11" t="str">
            <v>石硫黃</v>
          </cell>
          <cell r="C11" t="str">
            <v>102002</v>
          </cell>
          <cell r="E11" t="str">
            <v>FDFD96</v>
          </cell>
        </row>
        <row r="12">
          <cell r="B12" t="str">
            <v>鐘乳石</v>
          </cell>
          <cell r="C12" t="str">
            <v>102003</v>
          </cell>
          <cell r="E12" t="str">
            <v>FBFBE8</v>
          </cell>
        </row>
        <row r="13">
          <cell r="B13" t="str">
            <v>銅</v>
          </cell>
          <cell r="C13" t="str">
            <v>103001</v>
          </cell>
          <cell r="E13" t="str">
            <v>B87333</v>
          </cell>
        </row>
        <row r="14">
          <cell r="B14" t="str">
            <v>黃金</v>
          </cell>
          <cell r="C14" t="str">
            <v>103002</v>
          </cell>
          <cell r="E14" t="str">
            <v>FFD700</v>
          </cell>
        </row>
        <row r="15">
          <cell r="B15" t="str">
            <v>白玉</v>
          </cell>
          <cell r="C15" t="str">
            <v>104001</v>
          </cell>
          <cell r="E15" t="str">
            <v>F5F5F0</v>
          </cell>
        </row>
        <row r="16">
          <cell r="B16" t="str">
            <v>雲母</v>
          </cell>
          <cell r="C16" t="str">
            <v>104002</v>
          </cell>
          <cell r="E16" t="str">
            <v>E6E8EC</v>
          </cell>
        </row>
        <row r="17">
          <cell r="B17" t="str">
            <v>白石英</v>
          </cell>
          <cell r="C17" t="str">
            <v>104003</v>
          </cell>
          <cell r="E17" t="str">
            <v>F0F8FF</v>
          </cell>
        </row>
        <row r="18">
          <cell r="B18" t="str">
            <v>磁石</v>
          </cell>
          <cell r="C18" t="str">
            <v>105001</v>
          </cell>
          <cell r="E18" t="str">
            <v>4A4A4A</v>
          </cell>
        </row>
        <row r="19">
          <cell r="B19" t="str">
            <v>殞鐵</v>
          </cell>
          <cell r="C19" t="str">
            <v>105002</v>
          </cell>
          <cell r="E19" t="str">
            <v>1C1C1C</v>
          </cell>
        </row>
        <row r="20">
          <cell r="B20" t="str">
            <v>松煙</v>
          </cell>
          <cell r="C20" t="str">
            <v>105003</v>
          </cell>
          <cell r="E20" t="str">
            <v>2B2B2B</v>
          </cell>
        </row>
        <row r="21">
          <cell r="B21" t="str">
            <v>空青</v>
          </cell>
          <cell r="C21" t="str">
            <v>105004</v>
          </cell>
          <cell r="E21" t="str">
            <v>2FA4A9</v>
          </cell>
        </row>
        <row r="22">
          <cell r="B22" t="str">
            <v>紫石英</v>
          </cell>
          <cell r="C22" t="str">
            <v>106001</v>
          </cell>
          <cell r="E22">
            <v>800080</v>
          </cell>
        </row>
        <row r="23">
          <cell r="B23" t="str">
            <v>赤石脂</v>
          </cell>
          <cell r="C23" t="str">
            <v>106002</v>
          </cell>
          <cell r="E23" t="str">
            <v>9C3A2B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81636-3FCB-4293-936C-4A4F328197BA}">
  <sheetPr codeName="Sheet1"/>
  <dimension ref="A1:A24"/>
  <sheetViews>
    <sheetView workbookViewId="0">
      <selection sqref="A1:A24"/>
    </sheetView>
  </sheetViews>
  <sheetFormatPr defaultColWidth="8.875" defaultRowHeight="14.25"/>
  <cols>
    <col min="1" max="16384" width="8.875" style="1"/>
  </cols>
  <sheetData>
    <row r="1" spans="1:1">
      <c r="A1" s="1" t="s">
        <v>1</v>
      </c>
    </row>
    <row r="2" spans="1:1">
      <c r="A2" s="1" t="s">
        <v>123</v>
      </c>
    </row>
    <row r="3" spans="1:1">
      <c r="A3" s="1" t="s">
        <v>0</v>
      </c>
    </row>
    <row r="4" spans="1:1">
      <c r="A4" s="1" t="s">
        <v>122</v>
      </c>
    </row>
    <row r="5" spans="1:1">
      <c r="A5" s="1" t="s">
        <v>151</v>
      </c>
    </row>
    <row r="9" spans="1:1">
      <c r="A9" s="1" t="s">
        <v>117</v>
      </c>
    </row>
    <row r="10" spans="1:1">
      <c r="A10" s="1" t="s">
        <v>118</v>
      </c>
    </row>
    <row r="11" spans="1:1">
      <c r="A11" s="1" t="s">
        <v>119</v>
      </c>
    </row>
    <row r="13" spans="1:1">
      <c r="A13" s="1" t="s">
        <v>121</v>
      </c>
    </row>
    <row r="15" spans="1:1">
      <c r="A15" s="1" t="s">
        <v>120</v>
      </c>
    </row>
    <row r="17" spans="1:1">
      <c r="A17" s="1" t="s">
        <v>124</v>
      </c>
    </row>
    <row r="20" spans="1:1">
      <c r="A20" s="1" t="s">
        <v>125</v>
      </c>
    </row>
    <row r="22" spans="1:1">
      <c r="A22" s="1" t="s">
        <v>126</v>
      </c>
    </row>
    <row r="24" spans="1:1">
      <c r="A24" s="1" t="s">
        <v>150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4E2FE-99BE-4C1F-9D48-4400248D69B0}">
  <sheetPr codeName="Sheet2"/>
  <dimension ref="A1:M33"/>
  <sheetViews>
    <sheetView tabSelected="1" workbookViewId="0">
      <selection activeCell="A34" sqref="A34"/>
    </sheetView>
  </sheetViews>
  <sheetFormatPr defaultColWidth="8.875" defaultRowHeight="14.25"/>
  <cols>
    <col min="1" max="1" width="7.5" style="1" bestFit="1" customWidth="1"/>
    <col min="2" max="2" width="16.5" style="1" bestFit="1" customWidth="1"/>
    <col min="3" max="3" width="8.5" style="1" bestFit="1" customWidth="1"/>
    <col min="4" max="4" width="3.5" style="1" bestFit="1" customWidth="1"/>
    <col min="5" max="6" width="18.375" style="1" bestFit="1" customWidth="1"/>
    <col min="7" max="7" width="18.375" style="1" customWidth="1"/>
    <col min="8" max="8" width="15.5" style="1" bestFit="1" customWidth="1"/>
    <col min="9" max="9" width="11.25" style="1" bestFit="1" customWidth="1"/>
    <col min="10" max="10" width="17.5" style="1" bestFit="1" customWidth="1"/>
    <col min="11" max="11" width="16.125" style="1" bestFit="1" customWidth="1"/>
    <col min="12" max="12" width="15.375" style="1" bestFit="1" customWidth="1"/>
    <col min="13" max="13" width="21.5" style="1" bestFit="1" customWidth="1"/>
    <col min="14" max="16384" width="8.875" style="1"/>
  </cols>
  <sheetData>
    <row r="1" spans="1:13">
      <c r="A1" s="3" t="s">
        <v>2</v>
      </c>
      <c r="B1" s="3" t="s">
        <v>29</v>
      </c>
      <c r="C1" s="3" t="s">
        <v>16</v>
      </c>
      <c r="D1" s="4" t="s">
        <v>154</v>
      </c>
      <c r="E1" s="3" t="s">
        <v>51</v>
      </c>
      <c r="F1" s="3" t="s">
        <v>52</v>
      </c>
      <c r="G1" s="3" t="s">
        <v>152</v>
      </c>
      <c r="H1" s="3" t="s">
        <v>26</v>
      </c>
      <c r="I1" s="3" t="s">
        <v>12</v>
      </c>
      <c r="J1" s="3" t="s">
        <v>13</v>
      </c>
      <c r="K1" s="3" t="s">
        <v>188</v>
      </c>
      <c r="L1" s="3" t="s">
        <v>10</v>
      </c>
      <c r="M1" s="4" t="s">
        <v>29</v>
      </c>
    </row>
    <row r="2" spans="1:13">
      <c r="A2" s="3" t="s">
        <v>3</v>
      </c>
      <c r="B2" s="3" t="s">
        <v>4</v>
      </c>
      <c r="C2" s="3" t="s">
        <v>7</v>
      </c>
      <c r="D2" s="4"/>
      <c r="E2" s="3" t="s">
        <v>53</v>
      </c>
      <c r="F2" s="3" t="s">
        <v>54</v>
      </c>
      <c r="G2" s="3" t="s">
        <v>153</v>
      </c>
      <c r="H2" s="3" t="s">
        <v>27</v>
      </c>
      <c r="I2" s="3" t="s">
        <v>8</v>
      </c>
      <c r="J2" s="3" t="s">
        <v>14</v>
      </c>
      <c r="K2" s="3" t="s">
        <v>189</v>
      </c>
      <c r="L2" s="3" t="s">
        <v>9</v>
      </c>
      <c r="M2" s="4"/>
    </row>
    <row r="3" spans="1:13">
      <c r="A3" s="3" t="s">
        <v>5</v>
      </c>
      <c r="B3" s="3"/>
      <c r="C3" s="3" t="s">
        <v>6</v>
      </c>
      <c r="D3" s="4"/>
      <c r="E3" s="3" t="s">
        <v>55</v>
      </c>
      <c r="F3" s="3" t="s">
        <v>55</v>
      </c>
      <c r="G3" s="3" t="s">
        <v>55</v>
      </c>
      <c r="H3" s="3" t="s">
        <v>6</v>
      </c>
      <c r="I3" s="3" t="s">
        <v>6</v>
      </c>
      <c r="J3" s="3" t="s">
        <v>6</v>
      </c>
      <c r="K3" s="3" t="s">
        <v>6</v>
      </c>
      <c r="L3" s="3" t="s">
        <v>6</v>
      </c>
      <c r="M3" s="4"/>
    </row>
    <row r="4" spans="1:13">
      <c r="A4" s="1">
        <v>0</v>
      </c>
      <c r="B4" s="1" t="s">
        <v>34</v>
      </c>
      <c r="C4" s="1" t="str">
        <f>"6"&amp;"1"&amp;INDEX([1]商店!$E$3:$E$5,MATCH(H4,[1]商店!$F$3:$F$5,0))&amp;TEXT(INDEX([1]世界地圖!$A$3:$A$7,MATCH(L4,[1]世界地圖!$B$3:$B$7,0)),"00")&amp;TEXT(D4,"00")</f>
        <v>6110101</v>
      </c>
      <c r="D4" s="1">
        <v>1</v>
      </c>
      <c r="E4" s="1">
        <v>1</v>
      </c>
      <c r="F4" s="1">
        <v>1</v>
      </c>
      <c r="G4" s="1">
        <v>24</v>
      </c>
      <c r="H4" s="1" t="s">
        <v>46</v>
      </c>
      <c r="I4" s="1" t="s">
        <v>155</v>
      </c>
      <c r="J4" s="1" t="s">
        <v>30</v>
      </c>
      <c r="L4" s="1" t="s">
        <v>38</v>
      </c>
    </row>
    <row r="5" spans="1:13">
      <c r="A5" s="1">
        <v>1</v>
      </c>
      <c r="B5" s="1" t="s">
        <v>35</v>
      </c>
      <c r="C5" s="1" t="str">
        <f>"6"&amp;"1"&amp;INDEX([1]商店!$E$3:$E$5,MATCH(H5,[1]商店!$F$3:$F$5,0))&amp;TEXT(INDEX([1]世界地圖!$A$3:$A$7,MATCH(L5,[1]世界地圖!$B$3:$B$7,0)),"00")&amp;TEXT(D5,"00")</f>
        <v>6110102</v>
      </c>
      <c r="D5" s="1">
        <v>2</v>
      </c>
      <c r="E5" s="1">
        <v>1</v>
      </c>
      <c r="F5" s="1">
        <v>1</v>
      </c>
      <c r="G5" s="1">
        <v>24</v>
      </c>
      <c r="H5" s="1" t="s">
        <v>28</v>
      </c>
      <c r="I5" s="1" t="s">
        <v>156</v>
      </c>
      <c r="J5" s="1" t="s">
        <v>31</v>
      </c>
      <c r="L5" s="1" t="s">
        <v>38</v>
      </c>
    </row>
    <row r="6" spans="1:13">
      <c r="A6" s="1">
        <v>2</v>
      </c>
      <c r="B6" s="1" t="s">
        <v>36</v>
      </c>
      <c r="C6" s="1" t="str">
        <f>"6"&amp;"1"&amp;INDEX([1]商店!$E$3:$E$5,MATCH(H6,[1]商店!$F$3:$F$5,0))&amp;TEXT(INDEX([1]世界地圖!$A$3:$A$7,MATCH(L6,[1]世界地圖!$B$3:$B$7,0)),"00")&amp;TEXT(D6,"00")</f>
        <v>6110103</v>
      </c>
      <c r="D6" s="1">
        <v>3</v>
      </c>
      <c r="E6" s="1">
        <v>1</v>
      </c>
      <c r="F6" s="1">
        <v>1</v>
      </c>
      <c r="G6" s="1">
        <v>24</v>
      </c>
      <c r="H6" s="1" t="s">
        <v>28</v>
      </c>
      <c r="I6" s="1" t="s">
        <v>157</v>
      </c>
      <c r="J6" s="1" t="s">
        <v>32</v>
      </c>
      <c r="L6" s="1" t="s">
        <v>38</v>
      </c>
    </row>
    <row r="7" spans="1:13">
      <c r="A7" s="1">
        <v>3</v>
      </c>
      <c r="B7" s="1" t="s">
        <v>37</v>
      </c>
      <c r="C7" s="1" t="str">
        <f>"6"&amp;"1"&amp;INDEX([1]商店!$E$3:$E$5,MATCH(H7,[1]商店!$F$3:$F$5,0))&amp;TEXT(INDEX([1]世界地圖!$A$3:$A$7,MATCH(L7,[1]世界地圖!$B$3:$B$7,0)),"00")&amp;TEXT(D7,"00")</f>
        <v>6110104</v>
      </c>
      <c r="D7" s="1">
        <v>4</v>
      </c>
      <c r="E7" s="1">
        <v>1</v>
      </c>
      <c r="F7" s="1">
        <v>1</v>
      </c>
      <c r="G7" s="1">
        <v>24</v>
      </c>
      <c r="H7" s="1" t="s">
        <v>46</v>
      </c>
      <c r="I7" s="1" t="s">
        <v>158</v>
      </c>
      <c r="J7" s="1" t="s">
        <v>33</v>
      </c>
      <c r="L7" s="1" t="s">
        <v>38</v>
      </c>
    </row>
    <row r="8" spans="1:13">
      <c r="A8" s="1">
        <v>4</v>
      </c>
      <c r="B8" s="1" t="s">
        <v>42</v>
      </c>
      <c r="C8" s="1" t="str">
        <f>"6"&amp;"1"&amp;INDEX([1]商店!$E$3:$E$5,MATCH(H8,[1]商店!$F$3:$F$5,0))&amp;TEXT(INDEX([1]世界地圖!$A$3:$A$7,MATCH(L8,[1]世界地圖!$B$3:$B$7,0)),"00")&amp;TEXT(D8,"00")</f>
        <v>6110201</v>
      </c>
      <c r="D8" s="1">
        <v>1</v>
      </c>
      <c r="E8" s="1">
        <v>3</v>
      </c>
      <c r="F8" s="1">
        <v>5</v>
      </c>
      <c r="G8" s="1">
        <v>24</v>
      </c>
      <c r="H8" s="1" t="s">
        <v>46</v>
      </c>
      <c r="I8" s="1" t="s">
        <v>159</v>
      </c>
      <c r="J8" s="1" t="s">
        <v>47</v>
      </c>
      <c r="L8" s="1" t="s">
        <v>60</v>
      </c>
      <c r="M8" s="1" t="s">
        <v>56</v>
      </c>
    </row>
    <row r="9" spans="1:13">
      <c r="A9" s="1">
        <v>5</v>
      </c>
      <c r="B9" s="1" t="s">
        <v>43</v>
      </c>
      <c r="C9" s="1" t="str">
        <f>"6"&amp;"1"&amp;INDEX([1]商店!$E$3:$E$5,MATCH(H9,[1]商店!$F$3:$F$5,0))&amp;TEXT(INDEX([1]世界地圖!$A$3:$A$7,MATCH(L9,[1]世界地圖!$B$3:$B$7,0)),"00")&amp;TEXT(D9,"00")</f>
        <v>6110202</v>
      </c>
      <c r="D9" s="1">
        <v>2</v>
      </c>
      <c r="E9" s="1">
        <v>1</v>
      </c>
      <c r="F9" s="1">
        <v>1</v>
      </c>
      <c r="G9" s="1">
        <v>24</v>
      </c>
      <c r="H9" s="1" t="s">
        <v>46</v>
      </c>
      <c r="I9" s="1" t="s">
        <v>160</v>
      </c>
      <c r="J9" s="1" t="s">
        <v>48</v>
      </c>
      <c r="L9" s="1" t="s">
        <v>60</v>
      </c>
    </row>
    <row r="10" spans="1:13">
      <c r="A10" s="1">
        <v>6</v>
      </c>
      <c r="B10" s="1" t="s">
        <v>44</v>
      </c>
      <c r="C10" s="1" t="str">
        <f>"6"&amp;"1"&amp;INDEX([1]商店!$E$3:$E$5,MATCH(H10,[1]商店!$F$3:$F$5,0))&amp;TEXT(INDEX([1]世界地圖!$A$3:$A$7,MATCH(L10,[1]世界地圖!$B$3:$B$7,0)),"00")&amp;TEXT(D10,"00")</f>
        <v>6110203</v>
      </c>
      <c r="D10" s="1">
        <v>3</v>
      </c>
      <c r="E10" s="1">
        <v>1</v>
      </c>
      <c r="F10" s="1">
        <v>1</v>
      </c>
      <c r="G10" s="1">
        <v>24</v>
      </c>
      <c r="H10" s="1" t="s">
        <v>46</v>
      </c>
      <c r="I10" s="1" t="s">
        <v>161</v>
      </c>
      <c r="J10" s="1" t="s">
        <v>49</v>
      </c>
      <c r="L10" s="1" t="s">
        <v>60</v>
      </c>
    </row>
    <row r="11" spans="1:13">
      <c r="A11" s="1">
        <v>7</v>
      </c>
      <c r="B11" s="1" t="s">
        <v>45</v>
      </c>
      <c r="C11" s="1" t="str">
        <f>"6"&amp;"1"&amp;INDEX([1]商店!$E$3:$E$5,MATCH(H11,[1]商店!$F$3:$F$5,0))&amp;TEXT(INDEX([1]世界地圖!$A$3:$A$7,MATCH(L11,[1]世界地圖!$B$3:$B$7,0)),"00")&amp;TEXT(D11,"00")</f>
        <v>6110204</v>
      </c>
      <c r="D11" s="1">
        <v>4</v>
      </c>
      <c r="E11" s="1">
        <v>1</v>
      </c>
      <c r="F11" s="1">
        <v>1</v>
      </c>
      <c r="G11" s="1">
        <v>24</v>
      </c>
      <c r="H11" s="1" t="s">
        <v>46</v>
      </c>
      <c r="I11" s="1" t="s">
        <v>162</v>
      </c>
      <c r="J11" s="1" t="s">
        <v>50</v>
      </c>
      <c r="L11" s="1" t="s">
        <v>60</v>
      </c>
    </row>
    <row r="12" spans="1:13">
      <c r="A12" s="1">
        <v>8</v>
      </c>
      <c r="B12" s="1" t="s">
        <v>64</v>
      </c>
      <c r="C12" s="1" t="str">
        <f>"6"&amp;"1"&amp;INDEX([1]商店!$E$3:$E$5,MATCH(H12,[1]商店!$F$3:$F$5,0))&amp;TEXT(INDEX([1]世界地圖!$A$3:$A$7,MATCH(L12,[1]世界地圖!$B$3:$B$7,0)),"00")&amp;TEXT(D12,"00")</f>
        <v>6120205</v>
      </c>
      <c r="D12" s="1">
        <v>5</v>
      </c>
      <c r="E12" s="1">
        <v>1</v>
      </c>
      <c r="F12" s="1">
        <v>3</v>
      </c>
      <c r="G12" s="1">
        <v>24</v>
      </c>
      <c r="H12" s="1" t="s">
        <v>57</v>
      </c>
      <c r="I12" s="1" t="s">
        <v>163</v>
      </c>
      <c r="J12" s="1" t="s">
        <v>58</v>
      </c>
      <c r="L12" s="1" t="s">
        <v>60</v>
      </c>
      <c r="M12" s="1" t="s">
        <v>61</v>
      </c>
    </row>
    <row r="13" spans="1:13">
      <c r="A13" s="1">
        <v>9</v>
      </c>
      <c r="B13" s="1" t="s">
        <v>65</v>
      </c>
      <c r="C13" s="1" t="str">
        <f>"6"&amp;"1"&amp;INDEX([1]商店!$E$3:$E$5,MATCH(H13,[1]商店!$F$3:$F$5,0))&amp;TEXT(INDEX([1]世界地圖!$A$3:$A$7,MATCH(L13,[1]世界地圖!$B$3:$B$7,0)),"00")&amp;TEXT(D13,"00")</f>
        <v>6120206</v>
      </c>
      <c r="D13" s="1">
        <v>6</v>
      </c>
      <c r="E13" s="1">
        <v>1</v>
      </c>
      <c r="F13" s="1">
        <v>1</v>
      </c>
      <c r="G13" s="1">
        <v>24</v>
      </c>
      <c r="H13" s="1" t="s">
        <v>57</v>
      </c>
      <c r="I13" s="1" t="s">
        <v>164</v>
      </c>
      <c r="J13" s="1" t="s">
        <v>59</v>
      </c>
      <c r="L13" s="1" t="s">
        <v>60</v>
      </c>
    </row>
    <row r="14" spans="1:13">
      <c r="A14" s="1">
        <v>10</v>
      </c>
      <c r="B14" s="1" t="s">
        <v>66</v>
      </c>
      <c r="C14" s="1" t="str">
        <f>"6"&amp;"1"&amp;INDEX([1]商店!$E$3:$E$5,MATCH(H14,[1]商店!$F$3:$F$5,0))&amp;TEXT(INDEX([1]世界地圖!$A$3:$A$7,MATCH(L14,[1]世界地圖!$B$3:$B$7,0)),"00")&amp;TEXT(D14,"00")</f>
        <v>6120207</v>
      </c>
      <c r="D14" s="1">
        <v>7</v>
      </c>
      <c r="E14" s="1">
        <v>1</v>
      </c>
      <c r="F14" s="1">
        <v>1</v>
      </c>
      <c r="G14" s="1">
        <v>24</v>
      </c>
      <c r="H14" s="1" t="s">
        <v>57</v>
      </c>
      <c r="I14" s="1" t="s">
        <v>165</v>
      </c>
      <c r="J14" s="1" t="s">
        <v>62</v>
      </c>
      <c r="L14" s="1" t="s">
        <v>60</v>
      </c>
    </row>
    <row r="15" spans="1:13">
      <c r="A15" s="1">
        <v>11</v>
      </c>
      <c r="B15" s="1" t="s">
        <v>67</v>
      </c>
      <c r="C15" s="1" t="str">
        <f>"6"&amp;"1"&amp;INDEX([1]商店!$E$3:$E$5,MATCH(H15,[1]商店!$F$3:$F$5,0))&amp;TEXT(INDEX([1]世界地圖!$A$3:$A$7,MATCH(L15,[1]世界地圖!$B$3:$B$7,0)),"00")&amp;TEXT(D15,"00")</f>
        <v>6120208</v>
      </c>
      <c r="D15" s="1">
        <v>8</v>
      </c>
      <c r="E15" s="1">
        <v>1</v>
      </c>
      <c r="F15" s="1">
        <v>1</v>
      </c>
      <c r="G15" s="1">
        <v>24</v>
      </c>
      <c r="H15" s="1" t="s">
        <v>57</v>
      </c>
      <c r="I15" s="1" t="s">
        <v>166</v>
      </c>
      <c r="J15" s="1" t="s">
        <v>63</v>
      </c>
      <c r="L15" s="1" t="s">
        <v>60</v>
      </c>
    </row>
    <row r="16" spans="1:13">
      <c r="A16" s="1">
        <v>12</v>
      </c>
      <c r="B16" s="1" t="s">
        <v>84</v>
      </c>
      <c r="C16" s="1" t="str">
        <f>"6"&amp;"1"&amp;INDEX([1]商店!$E$3:$E$5,MATCH(H16,[1]商店!$F$3:$F$5,0))&amp;TEXT(INDEX([1]世界地圖!$A$3:$A$7,MATCH(L16,[1]世界地圖!$B$3:$B$7,0)),"00")&amp;TEXT(D16,"00")</f>
        <v>6110301</v>
      </c>
      <c r="D16" s="1">
        <v>1</v>
      </c>
      <c r="E16" s="1">
        <v>2</v>
      </c>
      <c r="F16" s="1">
        <v>2</v>
      </c>
      <c r="G16" s="1">
        <v>24</v>
      </c>
      <c r="H16" s="1" t="s">
        <v>46</v>
      </c>
      <c r="I16" s="1" t="s">
        <v>167</v>
      </c>
      <c r="J16" s="1" t="s">
        <v>92</v>
      </c>
      <c r="L16" s="1" t="s">
        <v>103</v>
      </c>
    </row>
    <row r="17" spans="1:13">
      <c r="A17" s="1">
        <v>13</v>
      </c>
      <c r="B17" s="1" t="s">
        <v>85</v>
      </c>
      <c r="C17" s="1" t="str">
        <f>"6"&amp;"1"&amp;INDEX([1]商店!$E$3:$E$5,MATCH(H17,[1]商店!$F$3:$F$5,0))&amp;TEXT(INDEX([1]世界地圖!$A$3:$A$7,MATCH(L17,[1]世界地圖!$B$3:$B$7,0)),"00")&amp;TEXT(D17,"00")</f>
        <v>6110302</v>
      </c>
      <c r="D17" s="1">
        <v>2</v>
      </c>
      <c r="E17" s="1">
        <v>1</v>
      </c>
      <c r="F17" s="1">
        <v>1</v>
      </c>
      <c r="G17" s="1">
        <v>24</v>
      </c>
      <c r="H17" s="1" t="s">
        <v>46</v>
      </c>
      <c r="I17" s="1" t="s">
        <v>168</v>
      </c>
      <c r="J17" s="1" t="s">
        <v>93</v>
      </c>
      <c r="L17" s="1" t="s">
        <v>103</v>
      </c>
    </row>
    <row r="18" spans="1:13">
      <c r="A18" s="1">
        <v>14</v>
      </c>
      <c r="B18" s="1" t="s">
        <v>86</v>
      </c>
      <c r="C18" s="1" t="str">
        <f>"6"&amp;"1"&amp;INDEX([1]商店!$E$3:$E$5,MATCH(H18,[1]商店!$F$3:$F$5,0))&amp;TEXT(INDEX([1]世界地圖!$A$3:$A$7,MATCH(L18,[1]世界地圖!$B$3:$B$7,0)),"00")&amp;TEXT(D18,"00")</f>
        <v>6110303</v>
      </c>
      <c r="D18" s="1">
        <v>3</v>
      </c>
      <c r="E18" s="1">
        <v>1</v>
      </c>
      <c r="F18" s="1">
        <v>1</v>
      </c>
      <c r="G18" s="1">
        <v>24</v>
      </c>
      <c r="H18" s="1" t="s">
        <v>46</v>
      </c>
      <c r="I18" s="1" t="s">
        <v>169</v>
      </c>
      <c r="J18" s="1" t="s">
        <v>94</v>
      </c>
      <c r="L18" s="1" t="s">
        <v>103</v>
      </c>
    </row>
    <row r="19" spans="1:13">
      <c r="A19" s="1">
        <v>15</v>
      </c>
      <c r="B19" s="1" t="s">
        <v>87</v>
      </c>
      <c r="C19" s="1" t="str">
        <f>"6"&amp;"1"&amp;INDEX([1]商店!$E$3:$E$5,MATCH(H19,[1]商店!$F$3:$F$5,0))&amp;TEXT(INDEX([1]世界地圖!$A$3:$A$7,MATCH(L19,[1]世界地圖!$B$3:$B$7,0)),"00")&amp;TEXT(D19,"00")</f>
        <v>6110304</v>
      </c>
      <c r="D19" s="1">
        <v>4</v>
      </c>
      <c r="E19" s="1">
        <v>1</v>
      </c>
      <c r="F19" s="1">
        <v>1</v>
      </c>
      <c r="G19" s="1">
        <v>24</v>
      </c>
      <c r="H19" s="1" t="s">
        <v>46</v>
      </c>
      <c r="I19" s="1" t="s">
        <v>170</v>
      </c>
      <c r="J19" s="1" t="s">
        <v>95</v>
      </c>
      <c r="L19" s="1" t="s">
        <v>103</v>
      </c>
    </row>
    <row r="20" spans="1:13">
      <c r="A20" s="1">
        <v>16</v>
      </c>
      <c r="B20" s="1" t="s">
        <v>88</v>
      </c>
      <c r="C20" s="1" t="str">
        <f>"6"&amp;"1"&amp;INDEX([1]商店!$E$3:$E$5,MATCH(H20,[1]商店!$F$3:$F$5,0))&amp;TEXT(INDEX([1]世界地圖!$A$3:$A$7,MATCH(L20,[1]世界地圖!$B$3:$B$7,0)),"00")&amp;TEXT(D20,"00")</f>
        <v>6110305</v>
      </c>
      <c r="D20" s="1">
        <v>5</v>
      </c>
      <c r="E20" s="1">
        <v>1</v>
      </c>
      <c r="F20" s="1">
        <v>1</v>
      </c>
      <c r="G20" s="1">
        <v>24</v>
      </c>
      <c r="H20" s="1" t="s">
        <v>46</v>
      </c>
      <c r="I20" s="1" t="s">
        <v>171</v>
      </c>
      <c r="J20" s="1" t="s">
        <v>96</v>
      </c>
      <c r="L20" s="1" t="s">
        <v>103</v>
      </c>
    </row>
    <row r="21" spans="1:13">
      <c r="A21" s="1">
        <v>17</v>
      </c>
      <c r="B21" s="1" t="s">
        <v>98</v>
      </c>
      <c r="C21" s="1" t="str">
        <f>"6"&amp;"1"&amp;INDEX([1]商店!$E$3:$E$5,MATCH(H21,[1]商店!$F$3:$F$5,0))&amp;TEXT(INDEX([1]世界地圖!$A$3:$A$7,MATCH(L21,[1]世界地圖!$B$3:$B$7,0)),"00")&amp;TEXT(D21,"00")</f>
        <v>6110306</v>
      </c>
      <c r="D21" s="1">
        <v>6</v>
      </c>
      <c r="E21" s="1">
        <v>1</v>
      </c>
      <c r="F21" s="1">
        <v>1</v>
      </c>
      <c r="G21" s="1">
        <v>24</v>
      </c>
      <c r="H21" s="1" t="s">
        <v>46</v>
      </c>
      <c r="I21" s="1" t="s">
        <v>172</v>
      </c>
      <c r="J21" s="1" t="s">
        <v>97</v>
      </c>
      <c r="L21" s="1" t="s">
        <v>103</v>
      </c>
    </row>
    <row r="22" spans="1:13">
      <c r="A22" s="1">
        <v>18</v>
      </c>
      <c r="B22" s="1" t="s">
        <v>89</v>
      </c>
      <c r="C22" s="1" t="str">
        <f>"6"&amp;"1"&amp;INDEX([1]商店!$E$3:$E$5,MATCH(H22,[1]商店!$F$3:$F$5,0))&amp;TEXT(INDEX([1]世界地圖!$A$3:$A$7,MATCH(L22,[1]世界地圖!$B$3:$B$7,0)),"00")&amp;TEXT(D22,"00")</f>
        <v>6120307</v>
      </c>
      <c r="D22" s="1">
        <v>7</v>
      </c>
      <c r="E22" s="1">
        <v>1</v>
      </c>
      <c r="F22" s="1">
        <v>1</v>
      </c>
      <c r="G22" s="1">
        <v>24</v>
      </c>
      <c r="H22" s="1" t="s">
        <v>57</v>
      </c>
      <c r="I22" s="1" t="s">
        <v>173</v>
      </c>
      <c r="J22" s="1" t="s">
        <v>99</v>
      </c>
      <c r="L22" s="1" t="s">
        <v>103</v>
      </c>
      <c r="M22" s="1" t="s">
        <v>104</v>
      </c>
    </row>
    <row r="23" spans="1:13">
      <c r="A23" s="1">
        <v>19</v>
      </c>
      <c r="B23" s="1" t="s">
        <v>90</v>
      </c>
      <c r="C23" s="1" t="str">
        <f>"6"&amp;"1"&amp;INDEX([1]商店!$E$3:$E$5,MATCH(H23,[1]商店!$F$3:$F$5,0))&amp;TEXT(INDEX([1]世界地圖!$A$3:$A$7,MATCH(L23,[1]世界地圖!$B$3:$B$7,0)),"00")&amp;TEXT(D23,"00")</f>
        <v>6120308</v>
      </c>
      <c r="D23" s="1">
        <v>8</v>
      </c>
      <c r="E23" s="1">
        <v>1</v>
      </c>
      <c r="F23" s="1">
        <v>1</v>
      </c>
      <c r="G23" s="1">
        <v>24</v>
      </c>
      <c r="H23" s="1" t="s">
        <v>57</v>
      </c>
      <c r="I23" s="1" t="s">
        <v>174</v>
      </c>
      <c r="J23" s="1" t="s">
        <v>100</v>
      </c>
      <c r="L23" s="1" t="s">
        <v>103</v>
      </c>
    </row>
    <row r="24" spans="1:13">
      <c r="A24" s="1">
        <v>20</v>
      </c>
      <c r="B24" s="1" t="s">
        <v>91</v>
      </c>
      <c r="C24" s="1" t="str">
        <f>"6"&amp;"1"&amp;INDEX([1]商店!$E$3:$E$5,MATCH(H24,[1]商店!$F$3:$F$5,0))&amp;TEXT(INDEX([1]世界地圖!$A$3:$A$7,MATCH(L24,[1]世界地圖!$B$3:$B$7,0)),"00")&amp;TEXT(D24,"00")</f>
        <v>6120309</v>
      </c>
      <c r="D24" s="1">
        <v>9</v>
      </c>
      <c r="E24" s="1">
        <v>1</v>
      </c>
      <c r="F24" s="1">
        <v>1</v>
      </c>
      <c r="G24" s="1">
        <v>24</v>
      </c>
      <c r="H24" s="1" t="s">
        <v>57</v>
      </c>
      <c r="I24" s="1" t="s">
        <v>175</v>
      </c>
      <c r="J24" s="1" t="s">
        <v>101</v>
      </c>
      <c r="L24" s="1" t="s">
        <v>103</v>
      </c>
    </row>
    <row r="25" spans="1:13">
      <c r="A25" s="1">
        <v>21</v>
      </c>
      <c r="B25" s="1" t="s">
        <v>132</v>
      </c>
      <c r="C25" s="1" t="str">
        <f>"6"&amp;"1"&amp;INDEX([1]商店!$E$3:$E$5,MATCH(H25,[1]商店!$F$3:$F$5,0))&amp;TEXT(INDEX([1]世界地圖!$A$3:$A$7,MATCH(L25,[1]世界地圖!$B$3:$B$7,0)),"00")&amp;TEXT(D25,"00")</f>
        <v>6120310</v>
      </c>
      <c r="D25" s="1">
        <v>10</v>
      </c>
      <c r="E25" s="1">
        <v>1</v>
      </c>
      <c r="F25" s="1">
        <v>1</v>
      </c>
      <c r="G25" s="1">
        <v>24</v>
      </c>
      <c r="H25" s="1" t="s">
        <v>57</v>
      </c>
      <c r="I25" s="1" t="s">
        <v>176</v>
      </c>
      <c r="J25" s="1" t="s">
        <v>102</v>
      </c>
      <c r="L25" s="1" t="s">
        <v>103</v>
      </c>
    </row>
    <row r="26" spans="1:13">
      <c r="A26" s="1">
        <v>22</v>
      </c>
      <c r="B26" s="1" t="s">
        <v>130</v>
      </c>
      <c r="C26" s="1" t="str">
        <f>"6"&amp;"1"&amp;INDEX([1]商店!$E$3:$E$5,MATCH(H26,[1]商店!$F$3:$F$5,0))&amp;TEXT(INDEX([1]世界地圖!$A$3:$A$7,MATCH(L26,[1]世界地圖!$B$3:$B$7,0)),"00")&amp;TEXT(D26,"00")</f>
        <v>6110401</v>
      </c>
      <c r="D26" s="1">
        <v>1</v>
      </c>
      <c r="E26" s="1">
        <v>1</v>
      </c>
      <c r="F26" s="1">
        <v>1</v>
      </c>
      <c r="G26" s="1">
        <v>24</v>
      </c>
      <c r="H26" s="1" t="s">
        <v>28</v>
      </c>
      <c r="I26" s="1" t="s">
        <v>177</v>
      </c>
      <c r="J26" s="1" t="s">
        <v>140</v>
      </c>
      <c r="L26" s="1" t="s">
        <v>139</v>
      </c>
    </row>
    <row r="27" spans="1:13">
      <c r="A27" s="1">
        <v>23</v>
      </c>
      <c r="B27" s="1" t="s">
        <v>131</v>
      </c>
      <c r="C27" s="1" t="str">
        <f>"6"&amp;"1"&amp;INDEX([1]商店!$E$3:$E$5,MATCH(H27,[1]商店!$F$3:$F$5,0))&amp;TEXT(INDEX([1]世界地圖!$A$3:$A$7,MATCH(L27,[1]世界地圖!$B$3:$B$7,0)),"00")&amp;TEXT(D27,"00")</f>
        <v>6110402</v>
      </c>
      <c r="D27" s="1">
        <v>2</v>
      </c>
      <c r="E27" s="1">
        <v>1</v>
      </c>
      <c r="F27" s="1">
        <v>1</v>
      </c>
      <c r="G27" s="1">
        <v>24</v>
      </c>
      <c r="H27" s="1" t="s">
        <v>28</v>
      </c>
      <c r="I27" s="1" t="s">
        <v>178</v>
      </c>
      <c r="J27" s="1" t="s">
        <v>141</v>
      </c>
      <c r="L27" s="1" t="s">
        <v>139</v>
      </c>
    </row>
    <row r="28" spans="1:13">
      <c r="A28" s="1">
        <v>24</v>
      </c>
      <c r="B28" s="1" t="s">
        <v>135</v>
      </c>
      <c r="C28" s="1" t="str">
        <f>"6"&amp;"1"&amp;INDEX([1]商店!$E$3:$E$5,MATCH(H28,[1]商店!$F$3:$F$5,0))&amp;TEXT(INDEX([1]世界地圖!$A$3:$A$7,MATCH(L28,[1]世界地圖!$B$3:$B$7,0)),"00")&amp;TEXT(D28,"00")</f>
        <v>6110403</v>
      </c>
      <c r="D28" s="1">
        <v>3</v>
      </c>
      <c r="E28" s="1">
        <v>5</v>
      </c>
      <c r="F28" s="1">
        <v>5</v>
      </c>
      <c r="G28" s="1">
        <v>24</v>
      </c>
      <c r="H28" s="1" t="s">
        <v>28</v>
      </c>
      <c r="I28" s="1" t="s">
        <v>179</v>
      </c>
      <c r="J28" s="1" t="s">
        <v>142</v>
      </c>
      <c r="L28" s="1" t="s">
        <v>139</v>
      </c>
      <c r="M28" s="1" t="s">
        <v>148</v>
      </c>
    </row>
    <row r="29" spans="1:13">
      <c r="A29" s="1">
        <v>25</v>
      </c>
      <c r="B29" s="1" t="s">
        <v>136</v>
      </c>
      <c r="C29" s="1" t="str">
        <f>"6"&amp;"1"&amp;INDEX([1]商店!$E$3:$E$5,MATCH(H29,[1]商店!$F$3:$F$5,0))&amp;TEXT(INDEX([1]世界地圖!$A$3:$A$7,MATCH(L29,[1]世界地圖!$B$3:$B$7,0)),"00")&amp;TEXT(D29,"00")</f>
        <v>6110404</v>
      </c>
      <c r="D29" s="1">
        <v>4</v>
      </c>
      <c r="E29" s="1">
        <v>3</v>
      </c>
      <c r="F29" s="1">
        <v>3</v>
      </c>
      <c r="G29" s="1">
        <v>24</v>
      </c>
      <c r="H29" s="1" t="s">
        <v>28</v>
      </c>
      <c r="I29" s="1" t="s">
        <v>180</v>
      </c>
      <c r="J29" s="1" t="s">
        <v>143</v>
      </c>
      <c r="L29" s="1" t="s">
        <v>139</v>
      </c>
      <c r="M29" s="1" t="s">
        <v>149</v>
      </c>
    </row>
    <row r="30" spans="1:13">
      <c r="A30" s="1">
        <v>26</v>
      </c>
      <c r="B30" s="1" t="s">
        <v>133</v>
      </c>
      <c r="C30" s="1" t="str">
        <f>"6"&amp;"1"&amp;INDEX([1]商店!$E$3:$E$5,MATCH(H30,[1]商店!$F$3:$F$5,0))&amp;TEXT(INDEX([1]世界地圖!$A$3:$A$7,MATCH(L30,[1]世界地圖!$B$3:$B$7,0)),"00")&amp;TEXT(D30,"00")</f>
        <v>6120405</v>
      </c>
      <c r="D30" s="1">
        <v>5</v>
      </c>
      <c r="E30" s="1">
        <v>1</v>
      </c>
      <c r="F30" s="1">
        <v>1</v>
      </c>
      <c r="G30" s="1">
        <v>24</v>
      </c>
      <c r="H30" s="1" t="s">
        <v>57</v>
      </c>
      <c r="I30" s="1" t="s">
        <v>181</v>
      </c>
      <c r="J30" s="1" t="s">
        <v>144</v>
      </c>
      <c r="L30" s="1" t="s">
        <v>139</v>
      </c>
    </row>
    <row r="31" spans="1:13">
      <c r="A31" s="1">
        <v>27</v>
      </c>
      <c r="B31" s="1" t="s">
        <v>134</v>
      </c>
      <c r="C31" s="1" t="str">
        <f>"6"&amp;"1"&amp;INDEX([1]商店!$E$3:$E$5,MATCH(H31,[1]商店!$F$3:$F$5,0))&amp;TEXT(INDEX([1]世界地圖!$A$3:$A$7,MATCH(L31,[1]世界地圖!$B$3:$B$7,0)),"00")&amp;TEXT(D31,"00")</f>
        <v>6120406</v>
      </c>
      <c r="D31" s="1">
        <v>6</v>
      </c>
      <c r="E31" s="1">
        <v>1</v>
      </c>
      <c r="F31" s="1">
        <v>1</v>
      </c>
      <c r="G31" s="1">
        <v>24</v>
      </c>
      <c r="H31" s="1" t="s">
        <v>57</v>
      </c>
      <c r="I31" s="1" t="s">
        <v>182</v>
      </c>
      <c r="J31" s="1" t="s">
        <v>145</v>
      </c>
      <c r="L31" s="1" t="s">
        <v>139</v>
      </c>
    </row>
    <row r="32" spans="1:13">
      <c r="A32" s="1">
        <v>28</v>
      </c>
      <c r="B32" s="1" t="s">
        <v>137</v>
      </c>
      <c r="C32" s="1" t="str">
        <f>"6"&amp;"1"&amp;INDEX([1]商店!$E$3:$E$5,MATCH(H32,[1]商店!$F$3:$F$5,0))&amp;TEXT(INDEX([1]世界地圖!$A$3:$A$7,MATCH(L32,[1]世界地圖!$B$3:$B$7,0)),"00")&amp;TEXT(D32,"00")</f>
        <v>6120407</v>
      </c>
      <c r="D32" s="1">
        <v>7</v>
      </c>
      <c r="E32" s="1">
        <v>2</v>
      </c>
      <c r="F32" s="1">
        <v>2</v>
      </c>
      <c r="G32" s="1">
        <v>24</v>
      </c>
      <c r="H32" s="1" t="s">
        <v>57</v>
      </c>
      <c r="I32" s="1" t="s">
        <v>183</v>
      </c>
      <c r="J32" s="1" t="s">
        <v>146</v>
      </c>
      <c r="L32" s="1" t="s">
        <v>139</v>
      </c>
      <c r="M32" s="1" t="s">
        <v>104</v>
      </c>
    </row>
    <row r="33" spans="1:13">
      <c r="A33" s="1">
        <v>29</v>
      </c>
      <c r="B33" s="1" t="s">
        <v>138</v>
      </c>
      <c r="C33" s="1" t="str">
        <f>"6"&amp;"1"&amp;INDEX([1]商店!$E$3:$E$5,MATCH(H33,[1]商店!$F$3:$F$5,0))&amp;TEXT(INDEX([1]世界地圖!$A$3:$A$7,MATCH(L33,[1]世界地圖!$B$3:$B$7,0)),"00")&amp;TEXT(D33,"00")</f>
        <v>6120408</v>
      </c>
      <c r="D33" s="1">
        <v>8</v>
      </c>
      <c r="E33" s="1">
        <v>2</v>
      </c>
      <c r="F33" s="1">
        <v>2</v>
      </c>
      <c r="G33" s="1">
        <v>24</v>
      </c>
      <c r="H33" s="1" t="s">
        <v>57</v>
      </c>
      <c r="I33" s="1" t="s">
        <v>184</v>
      </c>
      <c r="J33" s="1" t="s">
        <v>147</v>
      </c>
      <c r="L33" s="1" t="s">
        <v>139</v>
      </c>
      <c r="M33" s="1" t="s">
        <v>104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B7AC3-57B9-4D1E-ACF8-A6E6FAE3CA11}">
  <sheetPr codeName="Sheet3"/>
  <dimension ref="A1:N59"/>
  <sheetViews>
    <sheetView workbookViewId="0">
      <selection activeCell="D5" sqref="D5"/>
    </sheetView>
  </sheetViews>
  <sheetFormatPr defaultColWidth="8.875" defaultRowHeight="14.25"/>
  <cols>
    <col min="1" max="1" width="7.5" style="1" bestFit="1" customWidth="1"/>
    <col min="2" max="2" width="10.25" style="1" bestFit="1" customWidth="1"/>
    <col min="3" max="3" width="7.25" style="1" bestFit="1" customWidth="1"/>
    <col min="4" max="4" width="10.25" style="1" customWidth="1"/>
    <col min="5" max="5" width="16.5" style="6" bestFit="1" customWidth="1"/>
    <col min="6" max="6" width="15.5" style="1" bestFit="1" customWidth="1"/>
    <col min="7" max="7" width="11.625" style="1" bestFit="1" customWidth="1"/>
    <col min="8" max="8" width="18.75" style="1" bestFit="1" customWidth="1"/>
    <col min="9" max="9" width="15.5" style="1" bestFit="1" customWidth="1"/>
    <col min="10" max="10" width="13.5" style="1" customWidth="1"/>
    <col min="11" max="11" width="15" style="1" bestFit="1" customWidth="1"/>
    <col min="12" max="12" width="11.625" style="1" bestFit="1" customWidth="1"/>
    <col min="13" max="13" width="15" style="1" bestFit="1" customWidth="1"/>
    <col min="14" max="14" width="9.25" style="1" bestFit="1" customWidth="1"/>
    <col min="15" max="15" width="14.25" style="1" bestFit="1" customWidth="1"/>
    <col min="16" max="16384" width="8.875" style="1"/>
  </cols>
  <sheetData>
    <row r="1" spans="1:14">
      <c r="A1" s="3" t="s">
        <v>2</v>
      </c>
      <c r="B1" s="3" t="s">
        <v>11</v>
      </c>
      <c r="C1" s="3" t="s">
        <v>29</v>
      </c>
      <c r="D1" s="3" t="s">
        <v>72</v>
      </c>
      <c r="E1" s="5" t="s">
        <v>16</v>
      </c>
      <c r="F1" s="3" t="s">
        <v>17</v>
      </c>
      <c r="G1" s="3" t="s">
        <v>15</v>
      </c>
      <c r="H1" s="3" t="s">
        <v>116</v>
      </c>
      <c r="I1" s="3" t="s">
        <v>105</v>
      </c>
      <c r="J1" s="3" t="s">
        <v>111</v>
      </c>
      <c r="K1" s="3" t="s">
        <v>187</v>
      </c>
      <c r="L1" s="3" t="s">
        <v>73</v>
      </c>
      <c r="M1" s="3" t="s">
        <v>74</v>
      </c>
      <c r="N1" s="3" t="s">
        <v>185</v>
      </c>
    </row>
    <row r="2" spans="1:14">
      <c r="A2" s="3" t="s">
        <v>3</v>
      </c>
      <c r="B2" s="3" t="s">
        <v>4</v>
      </c>
      <c r="C2" s="3"/>
      <c r="D2" s="3" t="s">
        <v>18</v>
      </c>
      <c r="E2" s="5" t="s">
        <v>7</v>
      </c>
      <c r="F2" s="3" t="s">
        <v>112</v>
      </c>
      <c r="G2" s="3" t="s">
        <v>113</v>
      </c>
      <c r="H2" s="3" t="s">
        <v>114</v>
      </c>
      <c r="I2" s="3" t="s">
        <v>106</v>
      </c>
      <c r="J2" s="3" t="s">
        <v>107</v>
      </c>
      <c r="K2" s="3" t="s">
        <v>108</v>
      </c>
      <c r="L2" s="3" t="s">
        <v>76</v>
      </c>
      <c r="M2" s="3" t="s">
        <v>75</v>
      </c>
      <c r="N2" s="3" t="s">
        <v>186</v>
      </c>
    </row>
    <row r="3" spans="1:14">
      <c r="A3" s="3" t="s">
        <v>5</v>
      </c>
      <c r="B3" s="3"/>
      <c r="C3" s="3"/>
      <c r="D3" s="3" t="s">
        <v>110</v>
      </c>
      <c r="E3" s="5" t="s">
        <v>6</v>
      </c>
      <c r="F3" s="3" t="s">
        <v>109</v>
      </c>
      <c r="G3" s="3" t="s">
        <v>55</v>
      </c>
      <c r="H3" s="3" t="s">
        <v>55</v>
      </c>
      <c r="I3" s="3" t="s">
        <v>109</v>
      </c>
      <c r="J3" s="3" t="s">
        <v>55</v>
      </c>
      <c r="K3" s="3" t="s">
        <v>55</v>
      </c>
      <c r="L3" s="3" t="s">
        <v>55</v>
      </c>
      <c r="M3" s="3" t="s">
        <v>55</v>
      </c>
      <c r="N3" s="3" t="s">
        <v>55</v>
      </c>
    </row>
    <row r="4" spans="1:14">
      <c r="A4" s="1">
        <v>0</v>
      </c>
      <c r="B4" s="1" t="s">
        <v>19</v>
      </c>
      <c r="D4" s="1" t="str">
        <f>INDEX([2]Material!$E:$E,MATCH(B4,[2]Material!$B:$B,0))</f>
        <v>2F353B</v>
      </c>
      <c r="E4" s="6" t="s">
        <v>190</v>
      </c>
      <c r="F4" s="1" t="s">
        <v>25</v>
      </c>
      <c r="G4" s="1" t="str">
        <f>INDEX([2]Material!$C:$C,MATCH($B4,[2]Material!$B:$B,0))</f>
        <v>101001</v>
      </c>
      <c r="H4" s="1">
        <v>10</v>
      </c>
      <c r="I4" s="1" t="s">
        <v>115</v>
      </c>
      <c r="L4" s="1">
        <v>300</v>
      </c>
      <c r="M4" s="1">
        <v>3</v>
      </c>
      <c r="N4" s="1">
        <v>0</v>
      </c>
    </row>
    <row r="5" spans="1:14">
      <c r="A5" s="1">
        <v>1</v>
      </c>
      <c r="B5" s="1" t="s">
        <v>20</v>
      </c>
      <c r="D5" s="1" t="str">
        <f>INDEX([2]Material!$E:$E,MATCH(B5,[2]Material!$B:$B,0))</f>
        <v>E5E4E2</v>
      </c>
      <c r="E5" s="6" t="s">
        <v>190</v>
      </c>
      <c r="F5" s="1" t="s">
        <v>25</v>
      </c>
      <c r="G5" s="1" t="str">
        <f>INDEX([2]Material!$C:$C,MATCH($B5,[2]Material!$B:$B,0))</f>
        <v>101002</v>
      </c>
      <c r="H5" s="1">
        <v>10</v>
      </c>
      <c r="I5" s="1" t="s">
        <v>115</v>
      </c>
      <c r="L5" s="1">
        <v>300</v>
      </c>
      <c r="M5" s="1">
        <v>3</v>
      </c>
      <c r="N5" s="1">
        <v>0</v>
      </c>
    </row>
    <row r="6" spans="1:14">
      <c r="A6" s="1">
        <v>2</v>
      </c>
      <c r="B6" s="1" t="s">
        <v>21</v>
      </c>
      <c r="D6" s="1" t="str">
        <f>INDEX([2]Material!$E:$E,MATCH(B6,[2]Material!$B:$B,0))</f>
        <v>E34234</v>
      </c>
      <c r="E6" s="6" t="s">
        <v>191</v>
      </c>
      <c r="F6" s="1" t="s">
        <v>25</v>
      </c>
      <c r="G6" s="1" t="str">
        <f>INDEX([2]Material!$C:$C,MATCH($B6,[2]Material!$B:$B,0))</f>
        <v>101003</v>
      </c>
      <c r="H6" s="1">
        <v>10</v>
      </c>
      <c r="I6" s="1" t="s">
        <v>115</v>
      </c>
      <c r="L6" s="1">
        <v>300</v>
      </c>
      <c r="M6" s="1">
        <v>3</v>
      </c>
      <c r="N6" s="1">
        <v>0</v>
      </c>
    </row>
    <row r="7" spans="1:14">
      <c r="A7" s="1">
        <v>3</v>
      </c>
      <c r="B7" s="1" t="s">
        <v>22</v>
      </c>
      <c r="D7" s="1" t="str">
        <f>INDEX([2]Material!$E:$E,MATCH(B7,[2]Material!$B:$B,0))</f>
        <v>40E0D0</v>
      </c>
      <c r="E7" s="6" t="s">
        <v>191</v>
      </c>
      <c r="F7" s="1" t="s">
        <v>25</v>
      </c>
      <c r="G7" s="1" t="str">
        <f>INDEX([2]Material!$C:$C,MATCH($B7,[2]Material!$B:$B,0))</f>
        <v>101004</v>
      </c>
      <c r="H7" s="1">
        <v>10</v>
      </c>
      <c r="I7" s="1" t="s">
        <v>115</v>
      </c>
      <c r="L7" s="1">
        <v>300</v>
      </c>
      <c r="M7" s="1">
        <v>3</v>
      </c>
      <c r="N7" s="1">
        <v>0</v>
      </c>
    </row>
    <row r="8" spans="1:14">
      <c r="A8" s="1">
        <v>4</v>
      </c>
      <c r="B8" s="1" t="s">
        <v>23</v>
      </c>
      <c r="D8" s="1" t="str">
        <f>INDEX([2]Material!$E:$E,MATCH(B8,[2]Material!$B:$B,0))</f>
        <v>FFFFFF</v>
      </c>
      <c r="E8" s="6" t="s">
        <v>191</v>
      </c>
      <c r="F8" s="1" t="s">
        <v>25</v>
      </c>
      <c r="G8" s="1" t="str">
        <f>INDEX([2]Material!$C:$C,MATCH($B8,[2]Material!$B:$B,0))</f>
        <v>101005</v>
      </c>
      <c r="H8" s="1">
        <v>10</v>
      </c>
      <c r="I8" s="1" t="s">
        <v>115</v>
      </c>
      <c r="L8" s="1">
        <v>300</v>
      </c>
      <c r="M8" s="1">
        <v>3</v>
      </c>
      <c r="N8" s="1">
        <v>0</v>
      </c>
    </row>
    <row r="9" spans="1:14" ht="15" thickBot="1">
      <c r="A9" s="2">
        <v>5</v>
      </c>
      <c r="B9" s="1" t="s">
        <v>24</v>
      </c>
      <c r="D9" s="1" t="str">
        <f>INDEX([2]Material!$E:$E,MATCH(B9,[2]Material!$B:$B,0))</f>
        <v>FFA500</v>
      </c>
      <c r="E9" s="6" t="s">
        <v>191</v>
      </c>
      <c r="F9" s="1" t="s">
        <v>25</v>
      </c>
      <c r="G9" s="1" t="str">
        <f>INDEX([2]Material!$C:$C,MATCH($B9,[2]Material!$B:$B,0))</f>
        <v>101006</v>
      </c>
      <c r="H9" s="1">
        <v>10</v>
      </c>
      <c r="I9" s="1" t="s">
        <v>115</v>
      </c>
      <c r="L9" s="1">
        <v>300</v>
      </c>
      <c r="M9" s="1">
        <v>3</v>
      </c>
      <c r="N9" s="1">
        <v>0</v>
      </c>
    </row>
    <row r="10" spans="1:14">
      <c r="A10" s="1">
        <v>6</v>
      </c>
      <c r="B10" s="1" t="s">
        <v>21</v>
      </c>
      <c r="D10" s="1" t="str">
        <f>INDEX([2]Material!$E:$E,MATCH(B10,[2]Material!$B:$B,0))</f>
        <v>E34234</v>
      </c>
      <c r="E10" s="6" t="s">
        <v>192</v>
      </c>
      <c r="F10" s="1" t="s">
        <v>25</v>
      </c>
      <c r="G10" s="1" t="str">
        <f>INDEX([2]Material!$C:$C,MATCH($B10,[2]Material!$B:$B,0))</f>
        <v>101003</v>
      </c>
      <c r="H10" s="1">
        <v>10</v>
      </c>
      <c r="I10" s="1" t="s">
        <v>115</v>
      </c>
      <c r="L10" s="1">
        <v>100</v>
      </c>
      <c r="M10" s="1">
        <v>2</v>
      </c>
      <c r="N10" s="1">
        <v>38</v>
      </c>
    </row>
    <row r="11" spans="1:14">
      <c r="A11" s="1">
        <v>7</v>
      </c>
      <c r="B11" s="1" t="s">
        <v>22</v>
      </c>
      <c r="D11" s="1" t="str">
        <f>INDEX([2]Material!$E:$E,MATCH(B11,[2]Material!$B:$B,0))</f>
        <v>40E0D0</v>
      </c>
      <c r="E11" s="6" t="s">
        <v>192</v>
      </c>
      <c r="F11" s="1" t="s">
        <v>25</v>
      </c>
      <c r="G11" s="1" t="str">
        <f>INDEX([2]Material!$C:$C,MATCH($B11,[2]Material!$B:$B,0))</f>
        <v>101004</v>
      </c>
      <c r="H11" s="1">
        <v>10</v>
      </c>
      <c r="I11" s="1" t="s">
        <v>115</v>
      </c>
      <c r="L11" s="1">
        <v>100</v>
      </c>
      <c r="M11" s="1">
        <v>2</v>
      </c>
      <c r="N11" s="1">
        <v>38</v>
      </c>
    </row>
    <row r="12" spans="1:14">
      <c r="A12" s="1">
        <v>8</v>
      </c>
      <c r="B12" s="1" t="s">
        <v>24</v>
      </c>
      <c r="D12" s="1" t="str">
        <f>INDEX([2]Material!$E:$E,MATCH(B12,[2]Material!$B:$B,0))</f>
        <v>FFA500</v>
      </c>
      <c r="E12" s="6" t="s">
        <v>192</v>
      </c>
      <c r="F12" s="1" t="s">
        <v>25</v>
      </c>
      <c r="G12" s="1" t="str">
        <f>INDEX([2]Material!$C:$C,MATCH($B12,[2]Material!$B:$B,0))</f>
        <v>101006</v>
      </c>
      <c r="H12" s="1">
        <v>10</v>
      </c>
      <c r="I12" s="1" t="s">
        <v>115</v>
      </c>
      <c r="L12" s="1">
        <v>100</v>
      </c>
      <c r="M12" s="1">
        <v>2</v>
      </c>
      <c r="N12" s="1">
        <v>38</v>
      </c>
    </row>
    <row r="13" spans="1:14">
      <c r="A13" s="1">
        <v>9</v>
      </c>
      <c r="B13" s="1" t="s">
        <v>39</v>
      </c>
      <c r="D13" s="1" t="str">
        <f>INDEX([2]Material!$E:$E,MATCH(B13,[2]Material!$B:$B,0))</f>
        <v>EDEFF2</v>
      </c>
      <c r="E13" s="6" t="s">
        <v>193</v>
      </c>
      <c r="F13" s="1" t="s">
        <v>25</v>
      </c>
      <c r="G13" s="1" t="str">
        <f>INDEX([2]Material!$C:$C,MATCH($B13,[2]Material!$B:$B,0))</f>
        <v>102001</v>
      </c>
      <c r="H13" s="1">
        <v>10</v>
      </c>
      <c r="I13" s="1" t="s">
        <v>115</v>
      </c>
      <c r="L13" s="1">
        <v>300</v>
      </c>
      <c r="M13" s="1">
        <v>3</v>
      </c>
      <c r="N13" s="1">
        <v>0</v>
      </c>
    </row>
    <row r="14" spans="1:14">
      <c r="A14" s="1">
        <v>10</v>
      </c>
      <c r="B14" s="1" t="s">
        <v>40</v>
      </c>
      <c r="D14" s="1" t="str">
        <f>INDEX([2]Material!$E:$E,MATCH(B14,[2]Material!$B:$B,0))</f>
        <v>FDFD96</v>
      </c>
      <c r="E14" s="6" t="s">
        <v>193</v>
      </c>
      <c r="F14" s="1" t="s">
        <v>25</v>
      </c>
      <c r="G14" s="1" t="str">
        <f>INDEX([2]Material!$C:$C,MATCH($B14,[2]Material!$B:$B,0))</f>
        <v>102002</v>
      </c>
      <c r="H14" s="1">
        <v>10</v>
      </c>
      <c r="I14" s="1" t="s">
        <v>115</v>
      </c>
      <c r="L14" s="1">
        <v>300</v>
      </c>
      <c r="M14" s="1">
        <v>3</v>
      </c>
      <c r="N14" s="1">
        <v>0</v>
      </c>
    </row>
    <row r="15" spans="1:14">
      <c r="A15" s="1">
        <v>11</v>
      </c>
      <c r="B15" s="1" t="s">
        <v>41</v>
      </c>
      <c r="C15" s="1" t="s">
        <v>70</v>
      </c>
      <c r="D15" s="1" t="str">
        <f>INDEX([2]Material!$E:$E,MATCH(B15,[2]Material!$B:$B,0))</f>
        <v>FBFBE8</v>
      </c>
      <c r="E15" s="6" t="s">
        <v>193</v>
      </c>
      <c r="F15" s="1" t="s">
        <v>25</v>
      </c>
      <c r="G15" s="1" t="str">
        <f>INDEX([2]Material!$C:$C,MATCH($B15,[2]Material!$B:$B,0))</f>
        <v>102003</v>
      </c>
      <c r="H15" s="1">
        <v>10</v>
      </c>
      <c r="I15" s="1" t="s">
        <v>115</v>
      </c>
      <c r="K15" s="1">
        <v>300</v>
      </c>
      <c r="L15" s="1">
        <v>300</v>
      </c>
      <c r="M15" s="1">
        <v>3</v>
      </c>
      <c r="N15" s="1">
        <v>0</v>
      </c>
    </row>
    <row r="16" spans="1:14">
      <c r="A16" s="1">
        <v>12</v>
      </c>
      <c r="B16" s="1" t="s">
        <v>69</v>
      </c>
      <c r="D16" s="1" t="str">
        <f>INDEX([2]Material!$E:$E,MATCH(B16,[2]Material!$B:$B,0))</f>
        <v>FFD700</v>
      </c>
      <c r="E16" s="6" t="s">
        <v>193</v>
      </c>
      <c r="F16" s="1" t="s">
        <v>25</v>
      </c>
      <c r="G16" s="1" t="str">
        <f>INDEX([2]Material!$C:$C,MATCH($B16,[2]Material!$B:$B,0))</f>
        <v>103002</v>
      </c>
      <c r="H16" s="1">
        <v>10</v>
      </c>
      <c r="I16" s="1" t="s">
        <v>115</v>
      </c>
      <c r="L16" s="1">
        <v>300</v>
      </c>
      <c r="M16" s="1">
        <v>5</v>
      </c>
      <c r="N16" s="1">
        <v>0</v>
      </c>
    </row>
    <row r="17" spans="1:14">
      <c r="A17" s="1">
        <v>13</v>
      </c>
      <c r="B17" s="1" t="s">
        <v>19</v>
      </c>
      <c r="D17" s="1" t="str">
        <f>INDEX([2]Material!$E:$E,MATCH(B17,[2]Material!$B:$B,0))</f>
        <v>2F353B</v>
      </c>
      <c r="E17" s="6" t="s">
        <v>194</v>
      </c>
      <c r="F17" s="1" t="s">
        <v>25</v>
      </c>
      <c r="G17" s="1" t="str">
        <f>INDEX([2]Material!$C:$C,MATCH($B17,[2]Material!$B:$B,0))</f>
        <v>101001</v>
      </c>
      <c r="H17" s="1">
        <v>10</v>
      </c>
      <c r="I17" s="1" t="s">
        <v>115</v>
      </c>
      <c r="L17" s="1">
        <v>100</v>
      </c>
      <c r="M17" s="1">
        <v>1</v>
      </c>
      <c r="N17" s="1">
        <v>14</v>
      </c>
    </row>
    <row r="18" spans="1:14">
      <c r="A18" s="1">
        <v>14</v>
      </c>
      <c r="B18" s="1" t="s">
        <v>20</v>
      </c>
      <c r="D18" s="1" t="str">
        <f>INDEX([2]Material!$E:$E,MATCH(B18,[2]Material!$B:$B,0))</f>
        <v>E5E4E2</v>
      </c>
      <c r="E18" s="6" t="s">
        <v>194</v>
      </c>
      <c r="F18" s="1" t="s">
        <v>25</v>
      </c>
      <c r="G18" s="1" t="str">
        <f>INDEX([2]Material!$C:$C,MATCH($B18,[2]Material!$B:$B,0))</f>
        <v>101002</v>
      </c>
      <c r="H18" s="1">
        <v>10</v>
      </c>
      <c r="I18" s="1" t="s">
        <v>115</v>
      </c>
      <c r="L18" s="1">
        <v>100</v>
      </c>
      <c r="M18" s="1">
        <v>1</v>
      </c>
      <c r="N18" s="1">
        <v>14</v>
      </c>
    </row>
    <row r="19" spans="1:14">
      <c r="A19" s="1">
        <v>15</v>
      </c>
      <c r="B19" s="1" t="s">
        <v>23</v>
      </c>
      <c r="D19" s="1" t="str">
        <f>INDEX([2]Material!$E:$E,MATCH(B19,[2]Material!$B:$B,0))</f>
        <v>FFFFFF</v>
      </c>
      <c r="E19" s="6" t="s">
        <v>195</v>
      </c>
      <c r="F19" s="1" t="s">
        <v>25</v>
      </c>
      <c r="G19" s="1" t="str">
        <f>INDEX([2]Material!$C:$C,MATCH($B19,[2]Material!$B:$B,0))</f>
        <v>101005</v>
      </c>
      <c r="H19" s="1">
        <v>10</v>
      </c>
      <c r="I19" s="1" t="s">
        <v>115</v>
      </c>
      <c r="L19" s="1">
        <v>300</v>
      </c>
      <c r="M19" s="1">
        <v>3</v>
      </c>
      <c r="N19" s="1">
        <v>0</v>
      </c>
    </row>
    <row r="20" spans="1:14">
      <c r="A20" s="1">
        <v>16</v>
      </c>
      <c r="B20" s="1" t="s">
        <v>41</v>
      </c>
      <c r="C20" s="1" t="s">
        <v>71</v>
      </c>
      <c r="D20" s="1" t="str">
        <f>INDEX([2]Material!$E:$E,MATCH(B20,[2]Material!$B:$B,0))</f>
        <v>FBFBE8</v>
      </c>
      <c r="E20" s="6" t="s">
        <v>195</v>
      </c>
      <c r="F20" s="1" t="s">
        <v>25</v>
      </c>
      <c r="G20" s="1" t="str">
        <f>INDEX([2]Material!$C:$C,MATCH($B20,[2]Material!$B:$B,0))</f>
        <v>102003</v>
      </c>
      <c r="H20" s="1">
        <v>10</v>
      </c>
      <c r="I20" s="1" t="s">
        <v>115</v>
      </c>
      <c r="K20" s="1">
        <v>500</v>
      </c>
      <c r="L20" s="1">
        <v>300</v>
      </c>
      <c r="M20" s="1">
        <v>3</v>
      </c>
      <c r="N20" s="1">
        <v>0</v>
      </c>
    </row>
    <row r="21" spans="1:14" ht="15" thickBot="1">
      <c r="A21" s="2">
        <v>17</v>
      </c>
      <c r="B21" s="1" t="s">
        <v>68</v>
      </c>
      <c r="D21" s="1" t="str">
        <f>INDEX([2]Material!$E:$E,MATCH(B21,[2]Material!$B:$B,0))</f>
        <v>B87333</v>
      </c>
      <c r="E21" s="6" t="s">
        <v>195</v>
      </c>
      <c r="F21" s="1" t="s">
        <v>25</v>
      </c>
      <c r="G21" s="1" t="str">
        <f>INDEX([2]Material!$C:$C,MATCH($B21,[2]Material!$B:$B,0))</f>
        <v>103001</v>
      </c>
      <c r="H21" s="1">
        <v>10</v>
      </c>
      <c r="I21" s="1" t="s">
        <v>115</v>
      </c>
      <c r="L21" s="1">
        <v>300</v>
      </c>
      <c r="M21" s="1">
        <v>3</v>
      </c>
      <c r="N21" s="1">
        <v>0</v>
      </c>
    </row>
    <row r="22" spans="1:14">
      <c r="A22" s="1">
        <v>18</v>
      </c>
      <c r="B22" s="1" t="s">
        <v>21</v>
      </c>
      <c r="D22" s="1" t="str">
        <f>INDEX([2]Material!$E:$E,MATCH(B22,[2]Material!$B:$B,0))</f>
        <v>E34234</v>
      </c>
      <c r="E22" s="6" t="s">
        <v>196</v>
      </c>
      <c r="F22" s="1" t="s">
        <v>25</v>
      </c>
      <c r="G22" s="1" t="str">
        <f>INDEX([2]Material!$C:$C,MATCH($B22,[2]Material!$B:$B,0))</f>
        <v>101003</v>
      </c>
      <c r="H22" s="1">
        <v>10</v>
      </c>
      <c r="I22" s="1" t="s">
        <v>115</v>
      </c>
      <c r="L22" s="1">
        <v>100</v>
      </c>
      <c r="M22" s="1">
        <v>3</v>
      </c>
      <c r="N22" s="1">
        <v>62</v>
      </c>
    </row>
    <row r="23" spans="1:14">
      <c r="A23" s="1">
        <v>19</v>
      </c>
      <c r="B23" s="1" t="s">
        <v>24</v>
      </c>
      <c r="D23" s="1" t="str">
        <f>INDEX([2]Material!$E:$E,MATCH(B23,[2]Material!$B:$B,0))</f>
        <v>FFA500</v>
      </c>
      <c r="E23" s="6" t="s">
        <v>196</v>
      </c>
      <c r="F23" s="1" t="s">
        <v>25</v>
      </c>
      <c r="G23" s="1" t="str">
        <f>INDEX([2]Material!$C:$C,MATCH($B23,[2]Material!$B:$B,0))</f>
        <v>101006</v>
      </c>
      <c r="H23" s="1">
        <v>10</v>
      </c>
      <c r="I23" s="1" t="s">
        <v>115</v>
      </c>
      <c r="L23" s="1">
        <v>100</v>
      </c>
      <c r="M23" s="1">
        <v>3</v>
      </c>
      <c r="N23" s="1">
        <v>62</v>
      </c>
    </row>
    <row r="24" spans="1:14">
      <c r="A24" s="1">
        <v>20</v>
      </c>
      <c r="B24" s="1" t="s">
        <v>40</v>
      </c>
      <c r="D24" s="1" t="str">
        <f>INDEX([2]Material!$E:$E,MATCH(B24,[2]Material!$B:$B,0))</f>
        <v>FDFD96</v>
      </c>
      <c r="E24" s="6" t="s">
        <v>196</v>
      </c>
      <c r="F24" s="1" t="s">
        <v>25</v>
      </c>
      <c r="G24" s="1" t="str">
        <f>INDEX([2]Material!$C:$C,MATCH($B24,[2]Material!$B:$B,0))</f>
        <v>102002</v>
      </c>
      <c r="H24" s="1">
        <v>10</v>
      </c>
      <c r="I24" s="1" t="s">
        <v>115</v>
      </c>
      <c r="L24" s="1">
        <v>100</v>
      </c>
      <c r="M24" s="1">
        <v>3</v>
      </c>
      <c r="N24" s="1">
        <v>62</v>
      </c>
    </row>
    <row r="25" spans="1:14">
      <c r="A25" s="1">
        <v>21</v>
      </c>
      <c r="B25" s="1" t="s">
        <v>41</v>
      </c>
      <c r="D25" s="1" t="str">
        <f>INDEX([2]Material!$E:$E,MATCH(B25,[2]Material!$B:$B,0))</f>
        <v>FBFBE8</v>
      </c>
      <c r="E25" s="6" t="s">
        <v>196</v>
      </c>
      <c r="F25" s="1" t="s">
        <v>25</v>
      </c>
      <c r="G25" s="1" t="str">
        <f>INDEX([2]Material!$C:$C,MATCH($B25,[2]Material!$B:$B,0))</f>
        <v>102003</v>
      </c>
      <c r="H25" s="1">
        <v>10</v>
      </c>
      <c r="I25" s="1" t="s">
        <v>115</v>
      </c>
      <c r="L25" s="1">
        <v>100</v>
      </c>
      <c r="M25" s="1">
        <v>3</v>
      </c>
      <c r="N25" s="1">
        <v>62</v>
      </c>
    </row>
    <row r="26" spans="1:14">
      <c r="A26" s="1">
        <v>22</v>
      </c>
      <c r="B26" s="1" t="s">
        <v>22</v>
      </c>
      <c r="D26" s="1" t="str">
        <f>INDEX([2]Material!$E:$E,MATCH(B26,[2]Material!$B:$B,0))</f>
        <v>40E0D0</v>
      </c>
      <c r="E26" s="6" t="s">
        <v>197</v>
      </c>
      <c r="F26" s="1" t="s">
        <v>25</v>
      </c>
      <c r="G26" s="1" t="str">
        <f>INDEX([2]Material!$C:$C,MATCH($B26,[2]Material!$B:$B,0))</f>
        <v>101004</v>
      </c>
      <c r="H26" s="1">
        <v>10</v>
      </c>
      <c r="I26" s="1" t="s">
        <v>115</v>
      </c>
      <c r="L26" s="1">
        <v>100</v>
      </c>
      <c r="M26" s="1">
        <v>3</v>
      </c>
      <c r="N26" s="1">
        <v>62</v>
      </c>
    </row>
    <row r="27" spans="1:14">
      <c r="A27" s="1">
        <v>23</v>
      </c>
      <c r="B27" s="1" t="s">
        <v>39</v>
      </c>
      <c r="D27" s="1" t="str">
        <f>INDEX([2]Material!$E:$E,MATCH(B27,[2]Material!$B:$B,0))</f>
        <v>EDEFF2</v>
      </c>
      <c r="E27" s="6" t="s">
        <v>197</v>
      </c>
      <c r="F27" s="1" t="s">
        <v>25</v>
      </c>
      <c r="G27" s="1" t="str">
        <f>INDEX([2]Material!$C:$C,MATCH($B27,[2]Material!$B:$B,0))</f>
        <v>102001</v>
      </c>
      <c r="H27" s="1">
        <v>10</v>
      </c>
      <c r="I27" s="1" t="s">
        <v>115</v>
      </c>
      <c r="L27" s="1">
        <v>300</v>
      </c>
      <c r="M27" s="1">
        <v>3</v>
      </c>
      <c r="N27" s="1">
        <v>0</v>
      </c>
    </row>
    <row r="28" spans="1:14">
      <c r="A28" s="1">
        <v>24</v>
      </c>
      <c r="B28" s="1" t="s">
        <v>23</v>
      </c>
      <c r="D28" s="1" t="str">
        <f>INDEX([2]Material!$E:$E,MATCH(B28,[2]Material!$B:$B,0))</f>
        <v>FFFFFF</v>
      </c>
      <c r="E28" s="6" t="s">
        <v>197</v>
      </c>
      <c r="F28" s="1" t="s">
        <v>25</v>
      </c>
      <c r="G28" s="1" t="str">
        <f>INDEX([2]Material!$C:$C,MATCH($B28,[2]Material!$B:$B,0))</f>
        <v>101005</v>
      </c>
      <c r="H28" s="1">
        <v>10</v>
      </c>
      <c r="I28" s="1" t="s">
        <v>115</v>
      </c>
      <c r="L28" s="1">
        <v>300</v>
      </c>
      <c r="M28" s="1">
        <v>3</v>
      </c>
      <c r="N28" s="1">
        <v>0</v>
      </c>
    </row>
    <row r="29" spans="1:14">
      <c r="A29" s="1">
        <v>25</v>
      </c>
      <c r="B29" s="1" t="s">
        <v>77</v>
      </c>
      <c r="D29" s="1" t="str">
        <f>INDEX([2]Material!$E:$E,MATCH(B29,[2]Material!$B:$B,0))</f>
        <v>F5F5F0</v>
      </c>
      <c r="E29" s="6" t="s">
        <v>197</v>
      </c>
      <c r="F29" s="1" t="s">
        <v>25</v>
      </c>
      <c r="G29" s="1" t="str">
        <f>INDEX([2]Material!$C:$C,MATCH($B29,[2]Material!$B:$B,0))</f>
        <v>104001</v>
      </c>
      <c r="H29" s="1">
        <v>10</v>
      </c>
      <c r="I29" s="1" t="s">
        <v>115</v>
      </c>
      <c r="L29" s="1">
        <v>300</v>
      </c>
      <c r="M29" s="1">
        <v>3</v>
      </c>
      <c r="N29" s="1">
        <v>0</v>
      </c>
    </row>
    <row r="30" spans="1:14">
      <c r="A30" s="1">
        <v>26</v>
      </c>
      <c r="B30" s="1" t="s">
        <v>78</v>
      </c>
      <c r="D30" s="1" t="str">
        <f>INDEX([2]Material!$E:$E,MATCH(B30,[2]Material!$B:$B,0))</f>
        <v>E6E8EC</v>
      </c>
      <c r="E30" s="6" t="s">
        <v>197</v>
      </c>
      <c r="F30" s="1" t="s">
        <v>25</v>
      </c>
      <c r="G30" s="1" t="str">
        <f>INDEX([2]Material!$C:$C,MATCH($B30,[2]Material!$B:$B,0))</f>
        <v>104002</v>
      </c>
      <c r="H30" s="1">
        <v>10</v>
      </c>
      <c r="I30" s="1" t="s">
        <v>115</v>
      </c>
      <c r="L30" s="1">
        <v>300</v>
      </c>
      <c r="M30" s="1">
        <v>3</v>
      </c>
      <c r="N30" s="1">
        <v>0</v>
      </c>
    </row>
    <row r="31" spans="1:14">
      <c r="A31" s="1">
        <v>27</v>
      </c>
      <c r="B31" s="1" t="s">
        <v>79</v>
      </c>
      <c r="D31" s="1" t="str">
        <f>INDEX([2]Material!$E:$E,MATCH(B31,[2]Material!$B:$B,0))</f>
        <v>F0F8FF</v>
      </c>
      <c r="E31" s="6" t="s">
        <v>197</v>
      </c>
      <c r="F31" s="1" t="s">
        <v>25</v>
      </c>
      <c r="G31" s="1" t="str">
        <f>INDEX([2]Material!$C:$C,MATCH($B31,[2]Material!$B:$B,0))</f>
        <v>104003</v>
      </c>
      <c r="H31" s="1">
        <v>10</v>
      </c>
      <c r="I31" s="1" t="s">
        <v>115</v>
      </c>
      <c r="L31" s="1">
        <v>300</v>
      </c>
      <c r="M31" s="1">
        <v>3</v>
      </c>
      <c r="N31" s="1">
        <v>0</v>
      </c>
    </row>
    <row r="32" spans="1:14">
      <c r="A32" s="1">
        <v>28</v>
      </c>
      <c r="B32" s="1" t="s">
        <v>68</v>
      </c>
      <c r="D32" s="1" t="str">
        <f>INDEX([2]Material!$E:$E,MATCH(B32,[2]Material!$B:$B,0))</f>
        <v>B87333</v>
      </c>
      <c r="E32" s="6" t="s">
        <v>198</v>
      </c>
      <c r="F32" s="1" t="s">
        <v>25</v>
      </c>
      <c r="G32" s="1" t="str">
        <f>INDEX([2]Material!$C:$C,MATCH($B32,[2]Material!$B:$B,0))</f>
        <v>103001</v>
      </c>
      <c r="H32" s="1">
        <v>10</v>
      </c>
      <c r="I32" s="1" t="s">
        <v>115</v>
      </c>
      <c r="L32" s="1">
        <v>300</v>
      </c>
      <c r="M32" s="1">
        <v>3</v>
      </c>
      <c r="N32" s="1">
        <v>0</v>
      </c>
    </row>
    <row r="33" spans="1:14">
      <c r="A33" s="1">
        <v>29</v>
      </c>
      <c r="B33" s="1" t="s">
        <v>19</v>
      </c>
      <c r="D33" s="1" t="str">
        <f>INDEX([2]Material!$E:$E,MATCH(B33,[2]Material!$B:$B,0))</f>
        <v>2F353B</v>
      </c>
      <c r="E33" s="6" t="s">
        <v>198</v>
      </c>
      <c r="F33" s="1" t="s">
        <v>25</v>
      </c>
      <c r="G33" s="1" t="str">
        <f>INDEX([2]Material!$C:$C,MATCH($B33,[2]Material!$B:$B,0))</f>
        <v>101001</v>
      </c>
      <c r="H33" s="1">
        <v>10</v>
      </c>
      <c r="I33" s="1" t="s">
        <v>115</v>
      </c>
      <c r="L33" s="1">
        <v>300</v>
      </c>
      <c r="M33" s="1">
        <v>3</v>
      </c>
      <c r="N33" s="1">
        <v>62</v>
      </c>
    </row>
    <row r="34" spans="1:14">
      <c r="A34" s="1">
        <v>30</v>
      </c>
      <c r="B34" s="1" t="s">
        <v>20</v>
      </c>
      <c r="D34" s="1" t="str">
        <f>INDEX([2]Material!$E:$E,MATCH(B34,[2]Material!$B:$B,0))</f>
        <v>E5E4E2</v>
      </c>
      <c r="E34" s="6" t="s">
        <v>198</v>
      </c>
      <c r="F34" s="1" t="s">
        <v>25</v>
      </c>
      <c r="G34" s="1" t="str">
        <f>INDEX([2]Material!$C:$C,MATCH($B34,[2]Material!$B:$B,0))</f>
        <v>101002</v>
      </c>
      <c r="H34" s="1">
        <v>10</v>
      </c>
      <c r="I34" s="1" t="s">
        <v>115</v>
      </c>
      <c r="L34" s="1">
        <v>300</v>
      </c>
      <c r="M34" s="1">
        <v>3</v>
      </c>
      <c r="N34" s="1">
        <v>62</v>
      </c>
    </row>
    <row r="35" spans="1:14">
      <c r="A35" s="1">
        <v>31</v>
      </c>
      <c r="B35" s="1" t="s">
        <v>80</v>
      </c>
      <c r="D35" s="1" t="str">
        <f>INDEX([2]Material!$E:$E,MATCH(B35,[2]Material!$B:$B,0))</f>
        <v>4A4A4A</v>
      </c>
      <c r="E35" s="6" t="s">
        <v>199</v>
      </c>
      <c r="F35" s="1" t="s">
        <v>25</v>
      </c>
      <c r="G35" s="1" t="str">
        <f>INDEX([2]Material!$C:$C,MATCH($B35,[2]Material!$B:$B,0))</f>
        <v>105001</v>
      </c>
      <c r="H35" s="1">
        <v>10</v>
      </c>
      <c r="I35" s="1" t="s">
        <v>115</v>
      </c>
      <c r="L35" s="1">
        <v>300</v>
      </c>
      <c r="M35" s="1">
        <v>3</v>
      </c>
      <c r="N35" s="1">
        <v>62</v>
      </c>
    </row>
    <row r="36" spans="1:14">
      <c r="A36" s="1">
        <v>32</v>
      </c>
      <c r="B36" s="1" t="s">
        <v>81</v>
      </c>
      <c r="D36" s="1" t="str">
        <f>INDEX([2]Material!$E:$E,MATCH(B36,[2]Material!$B:$B,0))</f>
        <v>1C1C1C</v>
      </c>
      <c r="E36" s="6" t="s">
        <v>199</v>
      </c>
      <c r="F36" s="1" t="s">
        <v>25</v>
      </c>
      <c r="G36" s="1" t="str">
        <f>INDEX([2]Material!$C:$C,MATCH($B36,[2]Material!$B:$B,0))</f>
        <v>105002</v>
      </c>
      <c r="H36" s="1">
        <v>10</v>
      </c>
      <c r="I36" s="1" t="s">
        <v>115</v>
      </c>
      <c r="L36" s="1">
        <v>300</v>
      </c>
      <c r="M36" s="1">
        <v>3</v>
      </c>
      <c r="N36" s="1">
        <v>0</v>
      </c>
    </row>
    <row r="37" spans="1:14">
      <c r="A37" s="1">
        <v>33</v>
      </c>
      <c r="B37" s="1" t="s">
        <v>83</v>
      </c>
      <c r="D37" s="1" t="str">
        <f>INDEX([2]Material!$E:$E,MATCH(B37,[2]Material!$B:$B,0))</f>
        <v>2FA4A9</v>
      </c>
      <c r="E37" s="6" t="s">
        <v>199</v>
      </c>
      <c r="F37" s="1" t="s">
        <v>25</v>
      </c>
      <c r="G37" s="1" t="str">
        <f>INDEX([2]Material!$C:$C,MATCH($B37,[2]Material!$B:$B,0))</f>
        <v>105004</v>
      </c>
      <c r="H37" s="1">
        <v>10</v>
      </c>
      <c r="I37" s="1" t="s">
        <v>115</v>
      </c>
      <c r="L37" s="1">
        <v>300</v>
      </c>
      <c r="M37" s="1">
        <v>3</v>
      </c>
      <c r="N37" s="1">
        <v>0</v>
      </c>
    </row>
    <row r="38" spans="1:14">
      <c r="A38" s="1">
        <v>34</v>
      </c>
      <c r="B38" s="1" t="s">
        <v>69</v>
      </c>
      <c r="D38" s="1" t="str">
        <f>INDEX([2]Material!$E:$E,MATCH(B38,[2]Material!$B:$B,0))</f>
        <v>FFD700</v>
      </c>
      <c r="E38" s="6" t="s">
        <v>199</v>
      </c>
      <c r="F38" s="1" t="s">
        <v>25</v>
      </c>
      <c r="G38" s="1" t="str">
        <f>INDEX([2]Material!$C:$C,MATCH($B38,[2]Material!$B:$B,0))</f>
        <v>103002</v>
      </c>
      <c r="H38" s="1">
        <v>10</v>
      </c>
      <c r="I38" s="1" t="s">
        <v>115</v>
      </c>
      <c r="L38" s="1">
        <v>300</v>
      </c>
      <c r="M38" s="1">
        <v>3</v>
      </c>
      <c r="N38" s="1">
        <v>0</v>
      </c>
    </row>
    <row r="39" spans="1:14" ht="15" thickBot="1">
      <c r="A39" s="2">
        <v>35</v>
      </c>
      <c r="B39" s="1" t="s">
        <v>82</v>
      </c>
      <c r="D39" s="1" t="str">
        <f>INDEX([2]Material!$E:$E,MATCH(B39,[2]Material!$B:$B,0))</f>
        <v>2B2B2B</v>
      </c>
      <c r="E39" s="6" t="s">
        <v>200</v>
      </c>
      <c r="F39" s="1" t="s">
        <v>25</v>
      </c>
      <c r="G39" s="1" t="str">
        <f>INDEX([2]Material!$C:$C,MATCH($B39,[2]Material!$B:$B,0))</f>
        <v>105003</v>
      </c>
      <c r="H39" s="1">
        <v>10</v>
      </c>
      <c r="I39" s="1" t="s">
        <v>115</v>
      </c>
      <c r="L39" s="1">
        <v>300</v>
      </c>
      <c r="M39" s="1">
        <v>5</v>
      </c>
      <c r="N39" s="1">
        <v>0</v>
      </c>
    </row>
    <row r="40" spans="1:14">
      <c r="A40" s="1">
        <v>36</v>
      </c>
      <c r="B40" s="1" t="s">
        <v>21</v>
      </c>
      <c r="D40" s="1" t="str">
        <f>INDEX([2]Material!$E:$E,MATCH(B40,[2]Material!$B:$B,0))</f>
        <v>E34234</v>
      </c>
      <c r="E40" s="6" t="s">
        <v>201</v>
      </c>
      <c r="F40" s="1" t="s">
        <v>25</v>
      </c>
      <c r="G40" s="1" t="str">
        <f>INDEX([2]Material!$C:$C,MATCH($B40,[2]Material!$B:$B,0))</f>
        <v>101003</v>
      </c>
      <c r="H40" s="1">
        <v>10</v>
      </c>
      <c r="I40" s="1" t="s">
        <v>115</v>
      </c>
      <c r="L40" s="1">
        <v>100</v>
      </c>
      <c r="M40" s="1">
        <v>3</v>
      </c>
      <c r="N40" s="1">
        <v>62</v>
      </c>
    </row>
    <row r="41" spans="1:14">
      <c r="A41" s="1">
        <v>37</v>
      </c>
      <c r="B41" s="1" t="s">
        <v>22</v>
      </c>
      <c r="D41" s="1" t="str">
        <f>INDEX([2]Material!$E:$E,MATCH(B41,[2]Material!$B:$B,0))</f>
        <v>40E0D0</v>
      </c>
      <c r="E41" s="6" t="s">
        <v>201</v>
      </c>
      <c r="F41" s="1" t="s">
        <v>25</v>
      </c>
      <c r="G41" s="1" t="str">
        <f>INDEX([2]Material!$C:$C,MATCH($B41,[2]Material!$B:$B,0))</f>
        <v>101004</v>
      </c>
      <c r="H41" s="1">
        <v>10</v>
      </c>
      <c r="I41" s="1" t="s">
        <v>115</v>
      </c>
      <c r="L41" s="1">
        <v>100</v>
      </c>
      <c r="M41" s="1">
        <v>3</v>
      </c>
      <c r="N41" s="1">
        <v>62</v>
      </c>
    </row>
    <row r="42" spans="1:14">
      <c r="A42" s="1">
        <v>38</v>
      </c>
      <c r="B42" s="1" t="s">
        <v>41</v>
      </c>
      <c r="D42" s="1" t="str">
        <f>INDEX([2]Material!$E:$E,MATCH(B42,[2]Material!$B:$B,0))</f>
        <v>FBFBE8</v>
      </c>
      <c r="E42" s="6" t="s">
        <v>201</v>
      </c>
      <c r="F42" s="1" t="s">
        <v>25</v>
      </c>
      <c r="G42" s="1" t="str">
        <f>INDEX([2]Material!$C:$C,MATCH($B42,[2]Material!$B:$B,0))</f>
        <v>102003</v>
      </c>
      <c r="H42" s="1">
        <v>10</v>
      </c>
      <c r="I42" s="1" t="s">
        <v>115</v>
      </c>
      <c r="L42" s="1">
        <v>100</v>
      </c>
      <c r="M42" s="1">
        <v>3</v>
      </c>
      <c r="N42" s="1">
        <v>62</v>
      </c>
    </row>
    <row r="43" spans="1:14">
      <c r="A43" s="1">
        <v>39</v>
      </c>
      <c r="B43" s="1" t="s">
        <v>78</v>
      </c>
      <c r="D43" s="1" t="str">
        <f>INDEX([2]Material!$E:$E,MATCH(B43,[2]Material!$B:$B,0))</f>
        <v>E6E8EC</v>
      </c>
      <c r="E43" s="6" t="s">
        <v>201</v>
      </c>
      <c r="F43" s="1" t="s">
        <v>25</v>
      </c>
      <c r="G43" s="1" t="str">
        <f>INDEX([2]Material!$C:$C,MATCH($B43,[2]Material!$B:$B,0))</f>
        <v>104002</v>
      </c>
      <c r="H43" s="1">
        <v>10</v>
      </c>
      <c r="I43" s="1" t="s">
        <v>115</v>
      </c>
      <c r="L43" s="1">
        <v>100</v>
      </c>
      <c r="M43" s="1">
        <v>3</v>
      </c>
      <c r="N43" s="1">
        <v>62</v>
      </c>
    </row>
    <row r="44" spans="1:14">
      <c r="A44" s="1">
        <v>40</v>
      </c>
      <c r="B44" s="1" t="s">
        <v>80</v>
      </c>
      <c r="D44" s="1" t="str">
        <f>INDEX([2]Material!$E:$E,MATCH(B44,[2]Material!$B:$B,0))</f>
        <v>4A4A4A</v>
      </c>
      <c r="E44" s="6" t="s">
        <v>201</v>
      </c>
      <c r="F44" s="1" t="s">
        <v>25</v>
      </c>
      <c r="G44" s="1" t="str">
        <f>INDEX([2]Material!$C:$C,MATCH($B44,[2]Material!$B:$B,0))</f>
        <v>105001</v>
      </c>
      <c r="H44" s="1">
        <v>10</v>
      </c>
      <c r="I44" s="1" t="s">
        <v>115</v>
      </c>
      <c r="L44" s="1">
        <v>100</v>
      </c>
      <c r="M44" s="1">
        <v>3</v>
      </c>
      <c r="N44" s="1">
        <v>62</v>
      </c>
    </row>
    <row r="45" spans="1:14">
      <c r="A45" s="1">
        <v>41</v>
      </c>
      <c r="B45" s="1" t="s">
        <v>77</v>
      </c>
      <c r="D45" s="1" t="str">
        <f>INDEX([2]Material!$E:$E,MATCH(B45,[2]Material!$B:$B,0))</f>
        <v>F5F5F0</v>
      </c>
      <c r="E45" s="6" t="s">
        <v>201</v>
      </c>
      <c r="F45" s="1" t="s">
        <v>25</v>
      </c>
      <c r="G45" s="1" t="str">
        <f>INDEX([2]Material!$C:$C,MATCH($B45,[2]Material!$B:$B,0))</f>
        <v>104001</v>
      </c>
      <c r="H45" s="1">
        <v>10</v>
      </c>
      <c r="I45" s="1" t="s">
        <v>115</v>
      </c>
      <c r="L45" s="1">
        <v>100</v>
      </c>
      <c r="M45" s="1">
        <v>3</v>
      </c>
      <c r="N45" s="1">
        <v>62</v>
      </c>
    </row>
    <row r="46" spans="1:14">
      <c r="A46" s="1">
        <v>42</v>
      </c>
      <c r="B46" s="1" t="s">
        <v>68</v>
      </c>
      <c r="D46" s="1" t="str">
        <f>INDEX([2]Material!$E:$E,MATCH(B46,[2]Material!$B:$B,0))</f>
        <v>B87333</v>
      </c>
      <c r="E46" s="6" t="s">
        <v>201</v>
      </c>
      <c r="F46" s="1" t="s">
        <v>25</v>
      </c>
      <c r="G46" s="1" t="str">
        <f>INDEX([2]Material!$C:$C,MATCH($B46,[2]Material!$B:$B,0))</f>
        <v>103001</v>
      </c>
      <c r="H46" s="1">
        <v>10</v>
      </c>
      <c r="I46" s="1" t="s">
        <v>115</v>
      </c>
      <c r="L46" s="1">
        <v>100</v>
      </c>
      <c r="M46" s="1">
        <v>3</v>
      </c>
      <c r="N46" s="1">
        <v>62</v>
      </c>
    </row>
    <row r="47" spans="1:14">
      <c r="A47" s="1">
        <v>43</v>
      </c>
      <c r="B47" s="1" t="s">
        <v>129</v>
      </c>
      <c r="D47" s="1" t="str">
        <f>INDEX([2]Material!$E:$E,MATCH(B47,[2]Material!$B:$B,0))</f>
        <v>FFD700</v>
      </c>
      <c r="E47" s="6" t="s">
        <v>202</v>
      </c>
      <c r="F47" s="1" t="s">
        <v>25</v>
      </c>
      <c r="G47" s="1" t="str">
        <f>INDEX([2]Material!$C:$C,MATCH($B47,[2]Material!$B:$B,0))</f>
        <v>103002</v>
      </c>
      <c r="H47" s="1">
        <v>10</v>
      </c>
      <c r="I47" s="1" t="s">
        <v>115</v>
      </c>
      <c r="L47" s="1">
        <v>300</v>
      </c>
      <c r="M47" s="1">
        <v>3</v>
      </c>
      <c r="N47" s="1">
        <v>0</v>
      </c>
    </row>
    <row r="48" spans="1:14">
      <c r="A48" s="1">
        <v>44</v>
      </c>
      <c r="B48" s="1" t="s">
        <v>83</v>
      </c>
      <c r="D48" s="1" t="str">
        <f>INDEX([2]Material!$E:$E,MATCH(B48,[2]Material!$B:$B,0))</f>
        <v>2FA4A9</v>
      </c>
      <c r="E48" s="6" t="s">
        <v>202</v>
      </c>
      <c r="F48" s="1" t="s">
        <v>25</v>
      </c>
      <c r="G48" s="1" t="str">
        <f>INDEX([2]Material!$C:$C,MATCH($B48,[2]Material!$B:$B,0))</f>
        <v>105004</v>
      </c>
      <c r="H48" s="1">
        <v>10</v>
      </c>
      <c r="I48" s="1" t="s">
        <v>115</v>
      </c>
      <c r="L48" s="1">
        <v>300</v>
      </c>
      <c r="M48" s="1">
        <v>3</v>
      </c>
      <c r="N48" s="1">
        <v>0</v>
      </c>
    </row>
    <row r="49" spans="1:14">
      <c r="A49" s="1">
        <v>45</v>
      </c>
      <c r="B49" s="1" t="s">
        <v>81</v>
      </c>
      <c r="D49" s="1" t="str">
        <f>INDEX([2]Material!$E:$E,MATCH(B49,[2]Material!$B:$B,0))</f>
        <v>1C1C1C</v>
      </c>
      <c r="E49" s="6" t="s">
        <v>202</v>
      </c>
      <c r="F49" s="1" t="s">
        <v>25</v>
      </c>
      <c r="G49" s="1" t="str">
        <f>INDEX([2]Material!$C:$C,MATCH($B49,[2]Material!$B:$B,0))</f>
        <v>105002</v>
      </c>
      <c r="H49" s="1">
        <v>10</v>
      </c>
      <c r="I49" s="1" t="s">
        <v>115</v>
      </c>
      <c r="L49" s="1">
        <v>300</v>
      </c>
      <c r="M49" s="1">
        <v>3</v>
      </c>
      <c r="N49" s="1">
        <v>0</v>
      </c>
    </row>
    <row r="50" spans="1:14">
      <c r="A50" s="1">
        <v>46</v>
      </c>
      <c r="B50" s="1" t="s">
        <v>79</v>
      </c>
      <c r="D50" s="1" t="str">
        <f>INDEX([2]Material!$E:$E,MATCH(B50,[2]Material!$B:$B,0))</f>
        <v>F0F8FF</v>
      </c>
      <c r="E50" s="6" t="s">
        <v>202</v>
      </c>
      <c r="F50" s="1" t="s">
        <v>25</v>
      </c>
      <c r="G50" s="1" t="str">
        <f>INDEX([2]Material!$C:$C,MATCH($B50,[2]Material!$B:$B,0))</f>
        <v>104003</v>
      </c>
      <c r="H50" s="1">
        <v>10</v>
      </c>
      <c r="I50" s="1" t="s">
        <v>115</v>
      </c>
      <c r="L50" s="1">
        <v>300</v>
      </c>
      <c r="M50" s="1">
        <v>3</v>
      </c>
      <c r="N50" s="1">
        <v>0</v>
      </c>
    </row>
    <row r="51" spans="1:14">
      <c r="A51" s="1">
        <v>47</v>
      </c>
      <c r="B51" s="1" t="s">
        <v>127</v>
      </c>
      <c r="D51" s="1">
        <f>INDEX([2]Material!$E:$E,MATCH(B51,[2]Material!$B:$B,0))</f>
        <v>800080</v>
      </c>
      <c r="E51" s="6" t="s">
        <v>202</v>
      </c>
      <c r="F51" s="1" t="s">
        <v>25</v>
      </c>
      <c r="G51" s="1" t="str">
        <f>INDEX([2]Material!$C:$C,MATCH($B51,[2]Material!$B:$B,0))</f>
        <v>106001</v>
      </c>
      <c r="H51" s="1">
        <v>10</v>
      </c>
      <c r="I51" s="1" t="s">
        <v>115</v>
      </c>
      <c r="L51" s="1">
        <v>300</v>
      </c>
      <c r="M51" s="1">
        <v>3</v>
      </c>
      <c r="N51" s="1">
        <v>0</v>
      </c>
    </row>
    <row r="52" spans="1:14">
      <c r="A52" s="1">
        <v>48</v>
      </c>
      <c r="B52" s="1" t="s">
        <v>24</v>
      </c>
      <c r="D52" s="1" t="str">
        <f>INDEX([2]Material!$E:$E,MATCH(B52,[2]Material!$B:$B,0))</f>
        <v>FFA500</v>
      </c>
      <c r="E52" s="6" t="s">
        <v>203</v>
      </c>
      <c r="F52" s="1" t="s">
        <v>25</v>
      </c>
      <c r="G52" s="1" t="str">
        <f>INDEX([2]Material!$C:$C,MATCH($B52,[2]Material!$B:$B,0))</f>
        <v>101006</v>
      </c>
      <c r="H52" s="1">
        <v>10</v>
      </c>
      <c r="I52" s="1" t="s">
        <v>115</v>
      </c>
      <c r="L52" s="1">
        <v>100</v>
      </c>
      <c r="M52" s="1">
        <v>3</v>
      </c>
      <c r="N52" s="1">
        <v>62</v>
      </c>
    </row>
    <row r="53" spans="1:14">
      <c r="A53" s="1">
        <v>49</v>
      </c>
      <c r="B53" s="1" t="s">
        <v>40</v>
      </c>
      <c r="D53" s="1" t="str">
        <f>INDEX([2]Material!$E:$E,MATCH(B53,[2]Material!$B:$B,0))</f>
        <v>FDFD96</v>
      </c>
      <c r="E53" s="6" t="s">
        <v>203</v>
      </c>
      <c r="F53" s="1" t="s">
        <v>25</v>
      </c>
      <c r="G53" s="1" t="str">
        <f>INDEX([2]Material!$C:$C,MATCH($B53,[2]Material!$B:$B,0))</f>
        <v>102002</v>
      </c>
      <c r="H53" s="1">
        <v>10</v>
      </c>
      <c r="I53" s="1" t="s">
        <v>115</v>
      </c>
      <c r="L53" s="1">
        <v>100</v>
      </c>
      <c r="M53" s="1">
        <v>3</v>
      </c>
      <c r="N53" s="1">
        <v>62</v>
      </c>
    </row>
    <row r="54" spans="1:14">
      <c r="A54" s="1">
        <v>50</v>
      </c>
      <c r="B54" s="1" t="s">
        <v>39</v>
      </c>
      <c r="D54" s="1" t="str">
        <f>INDEX([2]Material!$E:$E,MATCH(B54,[2]Material!$B:$B,0))</f>
        <v>EDEFF2</v>
      </c>
      <c r="E54" s="6" t="s">
        <v>203</v>
      </c>
      <c r="F54" s="1" t="s">
        <v>25</v>
      </c>
      <c r="G54" s="1" t="str">
        <f>INDEX([2]Material!$C:$C,MATCH($B54,[2]Material!$B:$B,0))</f>
        <v>102001</v>
      </c>
      <c r="H54" s="1">
        <v>10</v>
      </c>
      <c r="I54" s="1" t="s">
        <v>115</v>
      </c>
      <c r="L54" s="1">
        <v>100</v>
      </c>
      <c r="M54" s="1">
        <v>3</v>
      </c>
      <c r="N54" s="1">
        <v>62</v>
      </c>
    </row>
    <row r="55" spans="1:14">
      <c r="A55" s="1">
        <v>51</v>
      </c>
      <c r="B55" s="1" t="s">
        <v>23</v>
      </c>
      <c r="D55" s="1" t="str">
        <f>INDEX([2]Material!$E:$E,MATCH(B55,[2]Material!$B:$B,0))</f>
        <v>FFFFFF</v>
      </c>
      <c r="E55" s="6" t="s">
        <v>203</v>
      </c>
      <c r="F55" s="1" t="s">
        <v>25</v>
      </c>
      <c r="G55" s="1" t="str">
        <f>INDEX([2]Material!$C:$C,MATCH($B55,[2]Material!$B:$B,0))</f>
        <v>101005</v>
      </c>
      <c r="H55" s="1">
        <v>10</v>
      </c>
      <c r="I55" s="1" t="s">
        <v>115</v>
      </c>
      <c r="L55" s="1">
        <v>100</v>
      </c>
      <c r="M55" s="1">
        <v>3</v>
      </c>
      <c r="N55" s="1">
        <v>62</v>
      </c>
    </row>
    <row r="56" spans="1:14">
      <c r="A56" s="1">
        <v>52</v>
      </c>
      <c r="B56" s="1" t="s">
        <v>19</v>
      </c>
      <c r="D56" s="1" t="str">
        <f>INDEX([2]Material!$E:$E,MATCH(B56,[2]Material!$B:$B,0))</f>
        <v>2F353B</v>
      </c>
      <c r="E56" s="6" t="s">
        <v>204</v>
      </c>
      <c r="F56" s="1" t="s">
        <v>25</v>
      </c>
      <c r="G56" s="1" t="str">
        <f>INDEX([2]Material!$C:$C,MATCH($B56,[2]Material!$B:$B,0))</f>
        <v>101001</v>
      </c>
      <c r="H56" s="1">
        <v>10</v>
      </c>
      <c r="I56" s="1" t="s">
        <v>115</v>
      </c>
      <c r="L56" s="1">
        <v>300</v>
      </c>
      <c r="M56" s="1">
        <v>3</v>
      </c>
      <c r="N56" s="1">
        <v>0</v>
      </c>
    </row>
    <row r="57" spans="1:14">
      <c r="A57" s="1">
        <v>53</v>
      </c>
      <c r="B57" s="1" t="s">
        <v>20</v>
      </c>
      <c r="D57" s="1" t="str">
        <f>INDEX([2]Material!$E:$E,MATCH(B57,[2]Material!$B:$B,0))</f>
        <v>E5E4E2</v>
      </c>
      <c r="E57" s="6" t="s">
        <v>204</v>
      </c>
      <c r="F57" s="1" t="s">
        <v>25</v>
      </c>
      <c r="G57" s="1" t="str">
        <f>INDEX([2]Material!$C:$C,MATCH($B57,[2]Material!$B:$B,0))</f>
        <v>101002</v>
      </c>
      <c r="H57" s="1">
        <v>10</v>
      </c>
      <c r="I57" s="1" t="s">
        <v>115</v>
      </c>
      <c r="L57" s="1">
        <v>300</v>
      </c>
      <c r="M57" s="1">
        <v>3</v>
      </c>
      <c r="N57" s="1">
        <v>0</v>
      </c>
    </row>
    <row r="58" spans="1:14">
      <c r="A58" s="1">
        <v>54</v>
      </c>
      <c r="B58" s="1" t="s">
        <v>82</v>
      </c>
      <c r="D58" s="1" t="str">
        <f>INDEX([2]Material!$E:$E,MATCH(B58,[2]Material!$B:$B,0))</f>
        <v>2B2B2B</v>
      </c>
      <c r="E58" s="6" t="s">
        <v>204</v>
      </c>
      <c r="F58" s="1" t="s">
        <v>25</v>
      </c>
      <c r="G58" s="1" t="str">
        <f>INDEX([2]Material!$C:$C,MATCH($B58,[2]Material!$B:$B,0))</f>
        <v>105003</v>
      </c>
      <c r="H58" s="1">
        <v>10</v>
      </c>
      <c r="I58" s="1" t="s">
        <v>115</v>
      </c>
      <c r="L58" s="1">
        <v>300</v>
      </c>
      <c r="M58" s="1">
        <v>3</v>
      </c>
      <c r="N58" s="1">
        <v>0</v>
      </c>
    </row>
    <row r="59" spans="1:14" ht="15" thickBot="1">
      <c r="A59" s="2">
        <v>55</v>
      </c>
      <c r="B59" s="1" t="s">
        <v>128</v>
      </c>
      <c r="D59" s="1" t="str">
        <f>INDEX([2]Material!$E:$E,MATCH(B59,[2]Material!$B:$B,0))</f>
        <v>9C3A2B</v>
      </c>
      <c r="E59" s="6" t="s">
        <v>204</v>
      </c>
      <c r="F59" s="1" t="s">
        <v>25</v>
      </c>
      <c r="G59" s="1" t="str">
        <f>INDEX([2]Material!$C:$C,MATCH($B59,[2]Material!$B:$B,0))</f>
        <v>106002</v>
      </c>
      <c r="H59" s="1">
        <v>10</v>
      </c>
      <c r="I59" s="1" t="s">
        <v>115</v>
      </c>
      <c r="L59" s="1">
        <v>300</v>
      </c>
      <c r="M59" s="1">
        <v>3</v>
      </c>
      <c r="N59" s="1">
        <v>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#Info</vt:lpstr>
      <vt:lpstr>StoreData</vt:lpstr>
      <vt:lpstr>MaterialStoresGoods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Thirza Chen</dc:creator>
  <cp:lastModifiedBy>mia pan</cp:lastModifiedBy>
  <dcterms:created xsi:type="dcterms:W3CDTF">2026-02-10T07:42:55Z</dcterms:created>
  <dcterms:modified xsi:type="dcterms:W3CDTF">2026-02-24T08:00:30Z</dcterms:modified>
</cp:coreProperties>
</file>