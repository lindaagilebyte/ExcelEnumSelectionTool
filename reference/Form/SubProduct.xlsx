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85608126126f9cf/桌面/新案/Form/"/>
    </mc:Choice>
  </mc:AlternateContent>
  <xr:revisionPtr revIDLastSave="18" documentId="13_ncr:1_{BCE65F17-5010-4A13-8F5D-A3859853ABFE}" xr6:coauthVersionLast="47" xr6:coauthVersionMax="47" xr10:uidLastSave="{6D116891-A2CE-4C45-8456-B49C5D26C34C}"/>
  <bookViews>
    <workbookView xWindow="28680" yWindow="-120" windowWidth="29040" windowHeight="15720" activeTab="1" xr2:uid="{76F565F7-C8AC-46F3-A614-B7BF40E6BB1F}"/>
  </bookViews>
  <sheets>
    <sheet name="#Info" sheetId="1" r:id="rId1"/>
    <sheet name="SubProduct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2" l="1"/>
  <c r="G11" i="2"/>
  <c r="G10" i="2"/>
  <c r="F10" i="2"/>
  <c r="G9" i="2"/>
  <c r="F9" i="2"/>
  <c r="G8" i="2"/>
  <c r="F8" i="2"/>
  <c r="G7" i="2"/>
  <c r="F7" i="2"/>
  <c r="G6" i="2"/>
  <c r="F6" i="2"/>
  <c r="G5" i="2"/>
  <c r="F5" i="2"/>
  <c r="G4" i="2"/>
  <c r="F4" i="2"/>
</calcChain>
</file>

<file path=xl/sharedStrings.xml><?xml version="1.0" encoding="utf-8"?>
<sst xmlns="http://schemas.openxmlformats.org/spreadsheetml/2006/main" count="80" uniqueCount="71">
  <si>
    <t>Index</t>
  </si>
  <si>
    <t>副產品ID</t>
    <phoneticPr fontId="2" type="noConversion"/>
  </si>
  <si>
    <t>副產品名稱</t>
  </si>
  <si>
    <t>最佳耐久回復力</t>
    <phoneticPr fontId="2" type="noConversion"/>
  </si>
  <si>
    <t>基礎耐久回復力</t>
    <phoneticPr fontId="2" type="noConversion"/>
  </si>
  <si>
    <t>可販售最佳價格</t>
    <phoneticPr fontId="2" type="noConversion"/>
  </si>
  <si>
    <t>可販售價格</t>
  </si>
  <si>
    <t>#黑市功能 (NPC 買去幹嘛?)</t>
    <phoneticPr fontId="2" type="noConversion"/>
  </si>
  <si>
    <t>#主要收購者 (非法/特定)</t>
    <phoneticPr fontId="2" type="noConversion"/>
  </si>
  <si>
    <t>#交易氛圍</t>
    <phoneticPr fontId="2" type="noConversion"/>
  </si>
  <si>
    <t>#說明</t>
    <phoneticPr fontId="2" type="noConversion"/>
  </si>
  <si>
    <t>Index</t>
    <phoneticPr fontId="2" type="noConversion"/>
  </si>
  <si>
    <t>SubProductID</t>
    <phoneticPr fontId="2" type="noConversion"/>
  </si>
  <si>
    <t>SubProductName</t>
    <phoneticPr fontId="2" type="noConversion"/>
  </si>
  <si>
    <t>FunctionType</t>
  </si>
  <si>
    <t>除鏽液</t>
  </si>
  <si>
    <t>修復容器耐久</t>
  </si>
  <si>
    <t>毀屍滅跡 / 腐蝕門鎖</t>
  </si>
  <si>
    <t>盜賊、殺手</t>
  </si>
  <si>
    <t>【銷贓】 雖然是清潔劑，但高濃度的酸可以用來幹壞事。</t>
  </si>
  <si>
    <t>酸性廢液，可用於修補鐵/銅爐。</t>
  </si>
  <si>
    <t>黏稠的漿糊</t>
  </si>
  <si>
    <t>易容黏著劑 / 劣質假藥</t>
  </si>
  <si>
    <t>江湖郎中、詐欺師</t>
  </si>
  <si>
    <t>【詐欺】 用來把藥渣黏成藥丸騙人。</t>
  </si>
  <si>
    <t>有機殘渣，可用於修補土/竹容器。</t>
  </si>
  <si>
    <t>汞精</t>
  </si>
  <si>
    <t>【致瘋、美容、防腐】</t>
  </si>
  <si>
    <t>宮女、妃子</t>
  </si>
  <si>
    <t>【謀殺】 高價收購，但風險極高。</t>
  </si>
  <si>
    <t>稀有的液態金屬精華，修補銀/金容器。</t>
  </si>
  <si>
    <t>有毒土塊</t>
  </si>
  <si>
    <t>修復容器耐久,泥材製作</t>
    <phoneticPr fontId="2" type="noConversion"/>
  </si>
  <si>
    <t>【致死、殺蟲、劇痛】</t>
  </si>
  <si>
    <t>農民、糧倉守衛</t>
  </si>
  <si>
    <t>【民生】 雖然有毒，但是為了生存(滅鼠)。</t>
  </si>
  <si>
    <t>吸滿毒素的廢土，修補鉛爐專用。</t>
  </si>
  <si>
    <t>金剛泥</t>
  </si>
  <si>
    <t>私鑄兵器模具</t>
  </si>
  <si>
    <t>鐵匠、私兵</t>
  </si>
  <si>
    <t>【違禁】 耐高溫的泥是用來做鑄造模具的。</t>
  </si>
  <si>
    <t>燒結實的鈣質硬塊，修補陶/瓷容器。</t>
  </si>
  <si>
    <t>胭脂</t>
  </si>
  <si>
    <t>雜物/換金</t>
  </si>
  <si>
    <t>毀容/媚藥載體</t>
  </si>
  <si>
    <t>嫉妒婦人、老鴇</t>
  </si>
  <si>
    <t>【陰暗】 女人的戰爭。</t>
  </si>
  <si>
    <t>鮮豔的紅色膏體，深受女性喜愛。</t>
  </si>
  <si>
    <t>五色藥渣</t>
  </si>
  <si>
    <t>【迷幻藥】 (致幻劑)</t>
  </si>
  <si>
    <t>癮君子、邪教徒</t>
  </si>
  <si>
    <t>【毒品】 讓人上癮的迷幻結晶。</t>
  </si>
  <si>
    <t>炸爐後的稀有結晶，修補合金爐專用。</t>
  </si>
  <si>
    <t>肥皂</t>
  </si>
  <si>
    <t>修復容器耐久</t>
    <phoneticPr fontId="2" type="noConversion"/>
  </si>
  <si>
    <t>清洗血漬 / 潤滑劑</t>
  </si>
  <si>
    <t>殺手、小偷</t>
  </si>
  <si>
    <t>【工具】 專業人士的後勤用品。</t>
  </si>
  <si>
    <t>油脂皂化產物，能回復少量容器耐久，通用於所有容器</t>
    <phoneticPr fontId="2" type="noConversion"/>
  </si>
  <si>
    <t>火藥</t>
    <phoneticPr fontId="2" type="noConversion"/>
  </si>
  <si>
    <t>【軍火爆裂物】</t>
  </si>
  <si>
    <t>叛軍、刺客</t>
  </si>
  <si>
    <t>【造反】 絕對的違禁品。</t>
  </si>
  <si>
    <t>#功能</t>
    <phoneticPr fontId="2" type="noConversion"/>
  </si>
  <si>
    <t>RepairValBest</t>
    <phoneticPr fontId="2" type="noConversion"/>
  </si>
  <si>
    <t>RepairValBase</t>
    <phoneticPr fontId="2" type="noConversion"/>
  </si>
  <si>
    <t>SellPriceBest</t>
    <phoneticPr fontId="2" type="noConversion"/>
  </si>
  <si>
    <t>SellPriceBase</t>
    <phoneticPr fontId="2" type="noConversion"/>
  </si>
  <si>
    <t>uint32</t>
  </si>
  <si>
    <t>uint32</t>
    <phoneticPr fontId="2" type="noConversion"/>
  </si>
  <si>
    <t>string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</si>
</sst>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全字庫正宋體"/>
      <family val="1"/>
      <charset val="136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5D281-7985-4BCA-BA1C-526F1DBC7488}">
  <dimension ref="A1"/>
  <sheetViews>
    <sheetView workbookViewId="0">
      <selection activeCell="D9" sqref="D9"/>
    </sheetView>
  </sheetViews>
  <sheetFormatPr defaultColWidth="8.88671875" defaultRowHeight="12.6" x14ac:dyDescent="0.3"/>
  <cols>
    <col min="1" max="16384" width="8.88671875" style="1"/>
  </cols>
  <sheetData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55C63-CA39-454C-BD5D-8A35E136DF8E}">
  <dimension ref="A1:L12"/>
  <sheetViews>
    <sheetView tabSelected="1" workbookViewId="0">
      <selection activeCell="I19" sqref="I19"/>
    </sheetView>
  </sheetViews>
  <sheetFormatPr defaultColWidth="8.88671875" defaultRowHeight="12.6" x14ac:dyDescent="0.3"/>
  <cols>
    <col min="1" max="1" width="6.44140625" style="1" bestFit="1" customWidth="1"/>
    <col min="2" max="2" width="13.88671875" style="1" bestFit="1" customWidth="1"/>
    <col min="3" max="3" width="16.109375" style="1" bestFit="1" customWidth="1"/>
    <col min="4" max="4" width="22.44140625" style="1" bestFit="1" customWidth="1"/>
    <col min="5" max="7" width="15.21875" style="1" bestFit="1" customWidth="1"/>
    <col min="8" max="8" width="15" style="1" bestFit="1" customWidth="1"/>
    <col min="9" max="9" width="27.21875" style="1" bestFit="1" customWidth="1"/>
    <col min="10" max="10" width="24.88671875" style="1" bestFit="1" customWidth="1"/>
    <col min="11" max="11" width="54.109375" style="1" bestFit="1" customWidth="1"/>
    <col min="12" max="12" width="50.44140625" style="1" bestFit="1" customWidth="1"/>
    <col min="13" max="16384" width="8.88671875" style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63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64</v>
      </c>
      <c r="F2" s="1" t="s">
        <v>65</v>
      </c>
      <c r="G2" s="1" t="s">
        <v>66</v>
      </c>
      <c r="H2" s="1" t="s">
        <v>67</v>
      </c>
    </row>
    <row r="3" spans="1:12" x14ac:dyDescent="0.3">
      <c r="A3" s="1" t="s">
        <v>69</v>
      </c>
      <c r="B3" s="1" t="s">
        <v>70</v>
      </c>
      <c r="C3" s="1" t="s">
        <v>70</v>
      </c>
      <c r="E3" s="1" t="s">
        <v>69</v>
      </c>
      <c r="F3" s="1" t="s">
        <v>68</v>
      </c>
      <c r="G3" s="1" t="s">
        <v>69</v>
      </c>
      <c r="H3" s="1" t="s">
        <v>69</v>
      </c>
    </row>
    <row r="4" spans="1:12" x14ac:dyDescent="0.3">
      <c r="A4" s="1">
        <v>0</v>
      </c>
      <c r="C4" s="1" t="s">
        <v>15</v>
      </c>
      <c r="D4" s="1" t="s">
        <v>16</v>
      </c>
      <c r="E4" s="1">
        <v>25</v>
      </c>
      <c r="F4" s="1">
        <f>E4/5</f>
        <v>5</v>
      </c>
      <c r="G4" s="1">
        <f>H4*2.5</f>
        <v>125</v>
      </c>
      <c r="H4" s="1">
        <v>50</v>
      </c>
      <c r="I4" s="1" t="s">
        <v>17</v>
      </c>
      <c r="J4" s="1" t="s">
        <v>18</v>
      </c>
      <c r="K4" s="1" t="s">
        <v>19</v>
      </c>
      <c r="L4" s="1" t="s">
        <v>20</v>
      </c>
    </row>
    <row r="5" spans="1:12" x14ac:dyDescent="0.3">
      <c r="A5" s="1">
        <v>1</v>
      </c>
      <c r="C5" s="1" t="s">
        <v>21</v>
      </c>
      <c r="D5" s="1" t="s">
        <v>16</v>
      </c>
      <c r="E5" s="1">
        <v>20</v>
      </c>
      <c r="F5" s="1">
        <f t="shared" ref="F5:F10" si="0">E5/5</f>
        <v>4</v>
      </c>
      <c r="G5" s="1">
        <f t="shared" ref="G5:G12" si="1">H5*2.5</f>
        <v>50</v>
      </c>
      <c r="H5" s="1">
        <v>20</v>
      </c>
      <c r="I5" s="1" t="s">
        <v>22</v>
      </c>
      <c r="J5" s="1" t="s">
        <v>23</v>
      </c>
      <c r="K5" s="1" t="s">
        <v>24</v>
      </c>
      <c r="L5" s="1" t="s">
        <v>25</v>
      </c>
    </row>
    <row r="6" spans="1:12" x14ac:dyDescent="0.3">
      <c r="A6" s="1">
        <v>2</v>
      </c>
      <c r="C6" s="1" t="s">
        <v>26</v>
      </c>
      <c r="D6" s="1" t="s">
        <v>16</v>
      </c>
      <c r="E6" s="1">
        <v>15</v>
      </c>
      <c r="F6" s="1">
        <f t="shared" si="0"/>
        <v>3</v>
      </c>
      <c r="G6" s="1">
        <f t="shared" si="1"/>
        <v>500</v>
      </c>
      <c r="H6" s="1">
        <v>200</v>
      </c>
      <c r="I6" s="1" t="s">
        <v>27</v>
      </c>
      <c r="J6" s="1" t="s">
        <v>28</v>
      </c>
      <c r="K6" s="1" t="s">
        <v>29</v>
      </c>
      <c r="L6" s="1" t="s">
        <v>30</v>
      </c>
    </row>
    <row r="7" spans="1:12" x14ac:dyDescent="0.3">
      <c r="A7" s="1">
        <v>3</v>
      </c>
      <c r="C7" s="1" t="s">
        <v>31</v>
      </c>
      <c r="D7" s="1" t="s">
        <v>32</v>
      </c>
      <c r="E7" s="1">
        <v>15</v>
      </c>
      <c r="F7" s="1">
        <f t="shared" si="0"/>
        <v>3</v>
      </c>
      <c r="G7" s="1">
        <f t="shared" si="1"/>
        <v>75</v>
      </c>
      <c r="H7" s="1">
        <v>30</v>
      </c>
      <c r="I7" s="1" t="s">
        <v>33</v>
      </c>
      <c r="J7" s="1" t="s">
        <v>34</v>
      </c>
      <c r="K7" s="1" t="s">
        <v>35</v>
      </c>
      <c r="L7" s="1" t="s">
        <v>36</v>
      </c>
    </row>
    <row r="8" spans="1:12" x14ac:dyDescent="0.3">
      <c r="A8" s="1">
        <v>4</v>
      </c>
      <c r="C8" s="1" t="s">
        <v>37</v>
      </c>
      <c r="D8" s="1" t="s">
        <v>16</v>
      </c>
      <c r="E8" s="1">
        <v>10</v>
      </c>
      <c r="F8" s="1">
        <f t="shared" si="0"/>
        <v>2</v>
      </c>
      <c r="G8" s="1">
        <f t="shared" si="1"/>
        <v>100</v>
      </c>
      <c r="H8" s="1">
        <v>40</v>
      </c>
      <c r="I8" s="1" t="s">
        <v>38</v>
      </c>
      <c r="J8" s="1" t="s">
        <v>39</v>
      </c>
      <c r="K8" s="1" t="s">
        <v>40</v>
      </c>
      <c r="L8" s="1" t="s">
        <v>41</v>
      </c>
    </row>
    <row r="9" spans="1:12" x14ac:dyDescent="0.3">
      <c r="A9" s="1">
        <v>5</v>
      </c>
      <c r="C9" s="1" t="s">
        <v>42</v>
      </c>
      <c r="D9" s="1" t="s">
        <v>43</v>
      </c>
      <c r="E9" s="1">
        <v>0</v>
      </c>
      <c r="F9" s="1">
        <f t="shared" si="0"/>
        <v>0</v>
      </c>
      <c r="G9" s="1">
        <f t="shared" si="1"/>
        <v>375</v>
      </c>
      <c r="H9" s="1">
        <v>150</v>
      </c>
      <c r="I9" s="1" t="s">
        <v>44</v>
      </c>
      <c r="J9" s="1" t="s">
        <v>45</v>
      </c>
      <c r="K9" s="1" t="s">
        <v>46</v>
      </c>
      <c r="L9" s="1" t="s">
        <v>47</v>
      </c>
    </row>
    <row r="10" spans="1:12" x14ac:dyDescent="0.3">
      <c r="A10" s="1">
        <v>6</v>
      </c>
      <c r="C10" s="1" t="s">
        <v>48</v>
      </c>
      <c r="D10" s="1" t="s">
        <v>16</v>
      </c>
      <c r="E10" s="1">
        <v>50</v>
      </c>
      <c r="F10" s="1">
        <f t="shared" si="0"/>
        <v>10</v>
      </c>
      <c r="G10" s="1">
        <f t="shared" si="1"/>
        <v>1250</v>
      </c>
      <c r="H10" s="1">
        <v>500</v>
      </c>
      <c r="I10" s="1" t="s">
        <v>49</v>
      </c>
      <c r="J10" s="1" t="s">
        <v>50</v>
      </c>
      <c r="K10" s="1" t="s">
        <v>51</v>
      </c>
      <c r="L10" s="1" t="s">
        <v>52</v>
      </c>
    </row>
    <row r="11" spans="1:12" x14ac:dyDescent="0.3">
      <c r="A11" s="1">
        <v>7</v>
      </c>
      <c r="C11" s="1" t="s">
        <v>53</v>
      </c>
      <c r="D11" s="1" t="s">
        <v>54</v>
      </c>
      <c r="E11" s="1">
        <v>10</v>
      </c>
      <c r="F11" s="1">
        <v>10</v>
      </c>
      <c r="G11" s="1">
        <f t="shared" si="1"/>
        <v>200</v>
      </c>
      <c r="H11" s="1">
        <v>80</v>
      </c>
      <c r="I11" s="1" t="s">
        <v>55</v>
      </c>
      <c r="J11" s="1" t="s">
        <v>56</v>
      </c>
      <c r="K11" s="1" t="s">
        <v>57</v>
      </c>
      <c r="L11" s="1" t="s">
        <v>58</v>
      </c>
    </row>
    <row r="12" spans="1:12" x14ac:dyDescent="0.3">
      <c r="A12" s="1">
        <v>8</v>
      </c>
      <c r="C12" s="1" t="s">
        <v>59</v>
      </c>
      <c r="D12" s="1" t="s">
        <v>43</v>
      </c>
      <c r="E12" s="1">
        <v>0</v>
      </c>
      <c r="F12" s="1">
        <v>0</v>
      </c>
      <c r="G12" s="1">
        <f t="shared" si="1"/>
        <v>500</v>
      </c>
      <c r="H12" s="1">
        <v>200</v>
      </c>
      <c r="I12" s="1" t="s">
        <v>60</v>
      </c>
      <c r="J12" s="1" t="s">
        <v>61</v>
      </c>
      <c r="K12" s="1" t="s">
        <v>62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#Info</vt:lpstr>
      <vt:lpstr>SubProductData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Thirza Chen</dc:creator>
  <cp:lastModifiedBy>Thirza Chen</cp:lastModifiedBy>
  <dcterms:created xsi:type="dcterms:W3CDTF">2026-01-22T09:49:26Z</dcterms:created>
  <dcterms:modified xsi:type="dcterms:W3CDTF">2026-02-09T07:20:24Z</dcterms:modified>
</cp:coreProperties>
</file>