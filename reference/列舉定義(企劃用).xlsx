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85608126126f9cf/桌面/AlchemyPlanning/"/>
    </mc:Choice>
  </mc:AlternateContent>
  <xr:revisionPtr revIDLastSave="131" documentId="13_ncr:1_{56080D55-671B-4BB2-A21A-7C37DC8D330F}" xr6:coauthVersionLast="47" xr6:coauthVersionMax="47" xr10:uidLastSave="{CBDAE58D-4543-4231-9BD1-6F9401E017D9}"/>
  <bookViews>
    <workbookView xWindow="-108" yWindow="-108" windowWidth="23256" windowHeight="12456" activeTab="4" xr2:uid="{00000000-000D-0000-FFFF-FFFF00000000}"/>
  </bookViews>
  <sheets>
    <sheet name="範例" sheetId="2" r:id="rId1"/>
    <sheet name="世界地圖" sheetId="6" r:id="rId2"/>
    <sheet name="人脈系統" sheetId="1" r:id="rId3"/>
    <sheet name="材料" sheetId="3" r:id="rId4"/>
    <sheet name="商店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7" i="6"/>
  <c r="B4" i="6"/>
  <c r="B5" i="6"/>
  <c r="B6" i="6"/>
  <c r="B3" i="6"/>
  <c r="F3" i="3"/>
  <c r="F4" i="3"/>
  <c r="F5" i="3"/>
  <c r="F4" i="4"/>
  <c r="F5" i="4"/>
  <c r="F3" i="4"/>
  <c r="B4" i="4"/>
  <c r="B5" i="4"/>
  <c r="B6" i="4"/>
  <c r="B7" i="4"/>
  <c r="B8" i="4"/>
  <c r="B3" i="4"/>
</calcChain>
</file>

<file path=xl/sharedStrings.xml><?xml version="1.0" encoding="utf-8"?>
<sst xmlns="http://schemas.openxmlformats.org/spreadsheetml/2006/main" count="102" uniqueCount="75">
  <si>
    <t>[身份]顧客</t>
    <phoneticPr fontId="1" type="noConversion"/>
  </si>
  <si>
    <t>[身份]商人</t>
    <phoneticPr fontId="1" type="noConversion"/>
  </si>
  <si>
    <t>列舉編號</t>
    <phoneticPr fontId="1" type="noConversion"/>
  </si>
  <si>
    <t>定義(巨集顯示)</t>
    <phoneticPr fontId="1" type="noConversion"/>
  </si>
  <si>
    <t>備註</t>
    <phoneticPr fontId="1" type="noConversion"/>
  </si>
  <si>
    <t>[身份]僱員</t>
    <phoneticPr fontId="1" type="noConversion"/>
  </si>
  <si>
    <t>[身份]其他</t>
    <phoneticPr fontId="1" type="noConversion"/>
  </si>
  <si>
    <t>IdentityType</t>
    <phoneticPr fontId="1" type="noConversion"/>
  </si>
  <si>
    <t>[任務類型]鄰近人脈熟識度</t>
    <phoneticPr fontId="1" type="noConversion"/>
  </si>
  <si>
    <t>[任務類型]在地圖上對話</t>
    <phoneticPr fontId="1" type="noConversion"/>
  </si>
  <si>
    <t>定義名稱</t>
    <phoneticPr fontId="1" type="noConversion"/>
  </si>
  <si>
    <t>資料用途</t>
    <phoneticPr fontId="1" type="noConversion"/>
  </si>
  <si>
    <t>任務類型</t>
    <phoneticPr fontId="1" type="noConversion"/>
  </si>
  <si>
    <t>MissonType</t>
    <phoneticPr fontId="1" type="noConversion"/>
  </si>
  <si>
    <t>[任務類型]投藥</t>
  </si>
  <si>
    <t>[任務類型]購買商品</t>
  </si>
  <si>
    <t>[任務類型]僱用員工</t>
  </si>
  <si>
    <t>[任務類型]獻上丹藥</t>
  </si>
  <si>
    <t>PassiveAbilityType</t>
  </si>
  <si>
    <t>被動能力類型</t>
    <phoneticPr fontId="1" type="noConversion"/>
  </si>
  <si>
    <t>[被動能力類型]毒素代謝率</t>
  </si>
  <si>
    <t>[被動能力類型]投藥聲望值</t>
    <phoneticPr fontId="1" type="noConversion"/>
  </si>
  <si>
    <t>[被動能力類型]購入材料品質</t>
    <phoneticPr fontId="1" type="noConversion"/>
  </si>
  <si>
    <t>[被動能力類型]問診顧客評價</t>
    <phoneticPr fontId="1" type="noConversion"/>
  </si>
  <si>
    <t>[被動能力類型]購入商品價格增減率</t>
    <phoneticPr fontId="1" type="noConversion"/>
  </si>
  <si>
    <t>PassiveAbilityTarget</t>
    <phoneticPr fontId="1" type="noConversion"/>
  </si>
  <si>
    <t>[被動能力對象]自己</t>
  </si>
  <si>
    <t>[被動能力對象]所有人</t>
  </si>
  <si>
    <t>可以填會使用的文案之類的</t>
    <phoneticPr fontId="1" type="noConversion"/>
  </si>
  <si>
    <t>轉表出的編號</t>
    <phoneticPr fontId="1" type="noConversion"/>
  </si>
  <si>
    <t>巨集顯示的內容
格式：[中文定義名稱]功能</t>
    <phoneticPr fontId="1" type="noConversion"/>
  </si>
  <si>
    <t>功能定義</t>
    <phoneticPr fontId="1" type="noConversion"/>
  </si>
  <si>
    <t>人脈身份</t>
    <phoneticPr fontId="1" type="noConversion"/>
  </si>
  <si>
    <t>被動能力目標</t>
    <phoneticPr fontId="1" type="noConversion"/>
  </si>
  <si>
    <t>材料類型</t>
    <phoneticPr fontId="1" type="noConversion"/>
  </si>
  <si>
    <t>MaterialType</t>
  </si>
  <si>
    <t>無</t>
  </si>
  <si>
    <t xml:space="preserve">ORE </t>
  </si>
  <si>
    <t xml:space="preserve">CRYSTAL </t>
  </si>
  <si>
    <t>METAL</t>
  </si>
  <si>
    <t xml:space="preserve">LIQUID </t>
  </si>
  <si>
    <t>POWDER</t>
  </si>
  <si>
    <t>[材料類型]礦石</t>
  </si>
  <si>
    <t>[材料類型]晶體</t>
  </si>
  <si>
    <t>[材料類型]金屬錠</t>
  </si>
  <si>
    <t>[材料類型]液體</t>
  </si>
  <si>
    <t>[材料類型]粉末</t>
  </si>
  <si>
    <t>MortarSize</t>
    <phoneticPr fontId="1" type="noConversion"/>
  </si>
  <si>
    <t>杵臼大小</t>
    <phoneticPr fontId="1" type="noConversion"/>
  </si>
  <si>
    <t>小</t>
    <phoneticPr fontId="1" type="noConversion"/>
  </si>
  <si>
    <t>中</t>
    <phoneticPr fontId="1" type="noConversion"/>
  </si>
  <si>
    <t>大</t>
    <phoneticPr fontId="1" type="noConversion"/>
  </si>
  <si>
    <t>無</t>
    <phoneticPr fontId="1" type="noConversion"/>
  </si>
  <si>
    <t>材料</t>
  </si>
  <si>
    <t>容器</t>
  </si>
  <si>
    <t>輔料</t>
  </si>
  <si>
    <t>泥材</t>
  </si>
  <si>
    <t>聲望商品</t>
  </si>
  <si>
    <t>道具類型</t>
    <phoneticPr fontId="1" type="noConversion"/>
  </si>
  <si>
    <t>PropType</t>
  </si>
  <si>
    <t>人脈系統</t>
    <phoneticPr fontId="1" type="noConversion"/>
  </si>
  <si>
    <t>材料</t>
    <phoneticPr fontId="1" type="noConversion"/>
  </si>
  <si>
    <t>商店</t>
    <phoneticPr fontId="1" type="noConversion"/>
  </si>
  <si>
    <r>
      <rPr>
        <sz val="11"/>
        <color theme="1"/>
        <rFont val="Segoe UI Symbol"/>
        <family val="2"/>
      </rPr>
      <t>⭣</t>
    </r>
    <r>
      <rPr>
        <sz val="11"/>
        <color theme="1"/>
        <rFont val="新細明體"/>
        <family val="2"/>
        <scheme val="minor"/>
      </rPr>
      <t>快速跳轉</t>
    </r>
    <r>
      <rPr>
        <sz val="11"/>
        <color theme="1"/>
        <rFont val="Segoe UI Symbol"/>
        <family val="2"/>
      </rPr>
      <t>⭣</t>
    </r>
    <phoneticPr fontId="1" type="noConversion"/>
  </si>
  <si>
    <t>現貨</t>
    <phoneticPr fontId="1" type="noConversion"/>
  </si>
  <si>
    <t>跑腿</t>
    <phoneticPr fontId="1" type="noConversion"/>
  </si>
  <si>
    <t>StoreType</t>
    <phoneticPr fontId="1" type="noConversion"/>
  </si>
  <si>
    <t>商店類型</t>
    <phoneticPr fontId="1" type="noConversion"/>
  </si>
  <si>
    <t>District</t>
  </si>
  <si>
    <t>地圖區域</t>
    <phoneticPr fontId="1" type="noConversion"/>
  </si>
  <si>
    <t>郭外</t>
    <phoneticPr fontId="1" type="noConversion"/>
  </si>
  <si>
    <t>南里</t>
    <phoneticPr fontId="1" type="noConversion"/>
  </si>
  <si>
    <t>西市</t>
    <phoneticPr fontId="1" type="noConversion"/>
  </si>
  <si>
    <t>東市</t>
    <phoneticPr fontId="1" type="noConversion"/>
  </si>
  <si>
    <t>資源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</si>
</sst>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DAF4-3B85-4E78-8B94-9EDA6B1D9697}">
  <dimension ref="A1:F8"/>
  <sheetViews>
    <sheetView workbookViewId="0">
      <selection activeCell="I12" sqref="I12"/>
    </sheetView>
  </sheetViews>
  <sheetFormatPr defaultRowHeight="15" x14ac:dyDescent="0.3"/>
  <cols>
    <col min="1" max="1" width="15.375" style="1" bestFit="1" customWidth="1"/>
    <col min="2" max="2" width="42.625" style="1" customWidth="1"/>
    <col min="3" max="3" width="36" style="1" customWidth="1"/>
    <col min="6" max="6" width="13.375" bestFit="1" customWidth="1"/>
  </cols>
  <sheetData>
    <row r="1" spans="1:6" x14ac:dyDescent="0.3">
      <c r="A1" s="3" t="s">
        <v>10</v>
      </c>
      <c r="C1" s="1" t="s">
        <v>11</v>
      </c>
    </row>
    <row r="2" spans="1:6" x14ac:dyDescent="0.3">
      <c r="A2" s="2" t="s">
        <v>2</v>
      </c>
      <c r="B2" s="2" t="s">
        <v>31</v>
      </c>
      <c r="C2" s="2" t="s">
        <v>4</v>
      </c>
    </row>
    <row r="3" spans="1:6" ht="28.8" x14ac:dyDescent="0.3">
      <c r="A3" s="5" t="s">
        <v>29</v>
      </c>
      <c r="B3" s="6" t="s">
        <v>30</v>
      </c>
      <c r="C3" s="5" t="s">
        <v>28</v>
      </c>
    </row>
    <row r="5" spans="1:6" ht="16.8" x14ac:dyDescent="0.4">
      <c r="F5" t="s">
        <v>63</v>
      </c>
    </row>
    <row r="6" spans="1:6" x14ac:dyDescent="0.3">
      <c r="F6" s="7" t="s">
        <v>60</v>
      </c>
    </row>
    <row r="7" spans="1:6" x14ac:dyDescent="0.3">
      <c r="F7" s="7" t="s">
        <v>61</v>
      </c>
    </row>
    <row r="8" spans="1:6" x14ac:dyDescent="0.3">
      <c r="F8" s="7" t="s">
        <v>62</v>
      </c>
    </row>
  </sheetData>
  <phoneticPr fontId="1" type="noConversion"/>
  <hyperlinks>
    <hyperlink ref="F6" location="人脈系統!A1" display="人脈系統" xr:uid="{CD4731BF-3850-4A18-A4A0-5F5D676CE5FC}"/>
    <hyperlink ref="F7" location="材料!A1" display="材料" xr:uid="{E67EB41A-19B3-4D8F-9FCC-1C1D72D76C10}"/>
    <hyperlink ref="F8" location="商店!A1" display="商店" xr:uid="{1FA51291-BD77-46B7-98C5-DA9565EEA9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A47A-3679-410F-8218-AA87138E23DF}">
  <dimension ref="A1:C7"/>
  <sheetViews>
    <sheetView workbookViewId="0">
      <selection activeCell="B7" sqref="B7"/>
    </sheetView>
  </sheetViews>
  <sheetFormatPr defaultRowHeight="15" x14ac:dyDescent="0.3"/>
  <cols>
    <col min="1" max="1" width="16.25" bestFit="1" customWidth="1"/>
    <col min="2" max="2" width="17.5" bestFit="1" customWidth="1"/>
    <col min="3" max="3" width="10.75" bestFit="1" customWidth="1"/>
  </cols>
  <sheetData>
    <row r="1" spans="1:3" x14ac:dyDescent="0.3">
      <c r="A1" s="3" t="s">
        <v>68</v>
      </c>
      <c r="B1" s="1"/>
      <c r="C1" s="1" t="s">
        <v>69</v>
      </c>
    </row>
    <row r="2" spans="1:3" x14ac:dyDescent="0.3">
      <c r="A2" s="2" t="s">
        <v>2</v>
      </c>
      <c r="B2" s="2" t="s">
        <v>3</v>
      </c>
      <c r="C2" s="2" t="s">
        <v>4</v>
      </c>
    </row>
    <row r="3" spans="1:3" x14ac:dyDescent="0.3">
      <c r="A3" s="1">
        <v>0</v>
      </c>
      <c r="B3" t="str">
        <f>"["&amp;C$1&amp;"]"&amp;C3</f>
        <v>[地圖區域]無</v>
      </c>
      <c r="C3" s="1" t="s">
        <v>52</v>
      </c>
    </row>
    <row r="4" spans="1:3" x14ac:dyDescent="0.3">
      <c r="A4" s="1">
        <v>1</v>
      </c>
      <c r="B4" t="str">
        <f t="shared" ref="B4:B7" si="0">"["&amp;C$1&amp;"]"&amp;C4</f>
        <v>[地圖區域]郭外</v>
      </c>
      <c r="C4" s="1" t="s">
        <v>70</v>
      </c>
    </row>
    <row r="5" spans="1:3" x14ac:dyDescent="0.3">
      <c r="A5" s="1">
        <v>2</v>
      </c>
      <c r="B5" t="str">
        <f t="shared" si="0"/>
        <v>[地圖區域]南里</v>
      </c>
      <c r="C5" s="1" t="s">
        <v>71</v>
      </c>
    </row>
    <row r="6" spans="1:3" x14ac:dyDescent="0.3">
      <c r="A6" s="1">
        <v>3</v>
      </c>
      <c r="B6" t="str">
        <f t="shared" si="0"/>
        <v>[地圖區域]西市</v>
      </c>
      <c r="C6" s="1" t="s">
        <v>72</v>
      </c>
    </row>
    <row r="7" spans="1:3" x14ac:dyDescent="0.3">
      <c r="A7" s="1">
        <v>4</v>
      </c>
      <c r="B7" t="str">
        <f t="shared" si="0"/>
        <v>[地圖區域]東市</v>
      </c>
      <c r="C7" s="1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sqref="A1:C6"/>
    </sheetView>
  </sheetViews>
  <sheetFormatPr defaultRowHeight="14.4" x14ac:dyDescent="0.3"/>
  <cols>
    <col min="1" max="1" width="15.375" style="1" bestFit="1" customWidth="1"/>
    <col min="2" max="2" width="42.625" style="1" customWidth="1"/>
    <col min="3" max="3" width="36" style="1" customWidth="1"/>
    <col min="4" max="4" width="3.375" style="1" customWidth="1"/>
    <col min="5" max="5" width="15.375" style="1" bestFit="1" customWidth="1"/>
    <col min="6" max="6" width="42.625" style="1" customWidth="1"/>
    <col min="7" max="7" width="36" style="1" customWidth="1"/>
    <col min="8" max="16384" width="9" style="1"/>
  </cols>
  <sheetData>
    <row r="1" spans="1:7" x14ac:dyDescent="0.3">
      <c r="A1" s="3" t="s">
        <v>7</v>
      </c>
      <c r="C1" s="1" t="s">
        <v>32</v>
      </c>
      <c r="E1" s="3" t="s">
        <v>18</v>
      </c>
      <c r="F1" s="4"/>
      <c r="G1" s="1" t="s">
        <v>19</v>
      </c>
    </row>
    <row r="2" spans="1:7" x14ac:dyDescent="0.3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4</v>
      </c>
    </row>
    <row r="3" spans="1:7" x14ac:dyDescent="0.3">
      <c r="A3" s="1">
        <v>1</v>
      </c>
      <c r="B3" s="1" t="s">
        <v>0</v>
      </c>
      <c r="E3" s="1">
        <v>1</v>
      </c>
      <c r="F3" s="1" t="s">
        <v>21</v>
      </c>
    </row>
    <row r="4" spans="1:7" x14ac:dyDescent="0.3">
      <c r="A4" s="1">
        <v>2</v>
      </c>
      <c r="B4" s="1" t="s">
        <v>1</v>
      </c>
      <c r="E4" s="1">
        <v>2</v>
      </c>
      <c r="F4" s="1" t="s">
        <v>22</v>
      </c>
    </row>
    <row r="5" spans="1:7" x14ac:dyDescent="0.3">
      <c r="A5" s="1">
        <v>3</v>
      </c>
      <c r="B5" s="1" t="s">
        <v>5</v>
      </c>
      <c r="E5" s="1">
        <v>3</v>
      </c>
      <c r="F5" s="1" t="s">
        <v>23</v>
      </c>
    </row>
    <row r="6" spans="1:7" x14ac:dyDescent="0.3">
      <c r="A6" s="1">
        <v>4</v>
      </c>
      <c r="B6" s="1" t="s">
        <v>6</v>
      </c>
      <c r="E6" s="1">
        <v>4</v>
      </c>
      <c r="F6" s="1" t="s">
        <v>24</v>
      </c>
    </row>
    <row r="7" spans="1:7" x14ac:dyDescent="0.3">
      <c r="E7" s="1">
        <v>5</v>
      </c>
      <c r="F7" s="1" t="s">
        <v>20</v>
      </c>
    </row>
    <row r="10" spans="1:7" x14ac:dyDescent="0.3">
      <c r="A10" s="3" t="s">
        <v>13</v>
      </c>
      <c r="C10" s="1" t="s">
        <v>12</v>
      </c>
    </row>
    <row r="11" spans="1:7" x14ac:dyDescent="0.3">
      <c r="A11" s="2" t="s">
        <v>2</v>
      </c>
      <c r="B11" s="2" t="s">
        <v>3</v>
      </c>
      <c r="C11" s="2" t="s">
        <v>4</v>
      </c>
      <c r="E11" s="3" t="s">
        <v>25</v>
      </c>
      <c r="F11" s="4"/>
      <c r="G11" s="1" t="s">
        <v>33</v>
      </c>
    </row>
    <row r="12" spans="1:7" x14ac:dyDescent="0.3">
      <c r="A12" s="1">
        <v>1</v>
      </c>
      <c r="B12" s="1" t="s">
        <v>8</v>
      </c>
      <c r="E12" s="2" t="s">
        <v>2</v>
      </c>
      <c r="F12" s="2" t="s">
        <v>3</v>
      </c>
      <c r="G12" s="2" t="s">
        <v>4</v>
      </c>
    </row>
    <row r="13" spans="1:7" x14ac:dyDescent="0.3">
      <c r="A13" s="1">
        <v>2</v>
      </c>
      <c r="B13" s="1" t="s">
        <v>9</v>
      </c>
      <c r="E13" s="1">
        <v>1</v>
      </c>
      <c r="F13" s="1" t="s">
        <v>26</v>
      </c>
    </row>
    <row r="14" spans="1:7" x14ac:dyDescent="0.3">
      <c r="A14" s="1">
        <v>3</v>
      </c>
      <c r="B14" s="1" t="s">
        <v>14</v>
      </c>
      <c r="E14" s="1">
        <v>2</v>
      </c>
      <c r="F14" s="1" t="s">
        <v>27</v>
      </c>
    </row>
    <row r="15" spans="1:7" x14ac:dyDescent="0.3">
      <c r="A15" s="1">
        <v>4</v>
      </c>
      <c r="B15" s="1" t="s">
        <v>15</v>
      </c>
    </row>
    <row r="16" spans="1:7" x14ac:dyDescent="0.3">
      <c r="A16" s="1">
        <v>5</v>
      </c>
      <c r="B16" s="1" t="s">
        <v>16</v>
      </c>
    </row>
    <row r="17" spans="1:2" x14ac:dyDescent="0.3">
      <c r="A17" s="1">
        <v>6</v>
      </c>
      <c r="B17" s="1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A98D-BA98-48A0-9CB7-A9A05B1EAFEA}">
  <dimension ref="A1:G7"/>
  <sheetViews>
    <sheetView workbookViewId="0">
      <selection activeCell="A3" sqref="A3:XFD3"/>
    </sheetView>
  </sheetViews>
  <sheetFormatPr defaultRowHeight="15" x14ac:dyDescent="0.3"/>
  <cols>
    <col min="1" max="1" width="16.25" bestFit="1" customWidth="1"/>
    <col min="2" max="2" width="19.75" bestFit="1" customWidth="1"/>
    <col min="3" max="3" width="10.75" bestFit="1" customWidth="1"/>
    <col min="4" max="4" width="2.75" customWidth="1"/>
    <col min="5" max="5" width="16.75" bestFit="1" customWidth="1"/>
    <col min="6" max="6" width="19.75" bestFit="1" customWidth="1"/>
    <col min="7" max="7" width="12" bestFit="1" customWidth="1"/>
  </cols>
  <sheetData>
    <row r="1" spans="1:7" x14ac:dyDescent="0.3">
      <c r="A1" s="3" t="s">
        <v>35</v>
      </c>
      <c r="B1" s="1"/>
      <c r="C1" s="1" t="s">
        <v>34</v>
      </c>
      <c r="E1" s="3" t="s">
        <v>47</v>
      </c>
      <c r="F1" s="1"/>
      <c r="G1" s="1" t="s">
        <v>48</v>
      </c>
    </row>
    <row r="2" spans="1:7" x14ac:dyDescent="0.3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4</v>
      </c>
    </row>
    <row r="3" spans="1:7" x14ac:dyDescent="0.3">
      <c r="A3" s="1">
        <v>1</v>
      </c>
      <c r="B3" t="s">
        <v>42</v>
      </c>
      <c r="C3" s="1" t="s">
        <v>37</v>
      </c>
      <c r="D3" s="1"/>
      <c r="E3" s="1">
        <v>1</v>
      </c>
      <c r="F3" t="str">
        <f t="shared" ref="F3:F5" si="0">"["&amp;G$1&amp;"]"&amp;G3</f>
        <v>[杵臼大小]小</v>
      </c>
      <c r="G3" s="1" t="s">
        <v>49</v>
      </c>
    </row>
    <row r="4" spans="1:7" x14ac:dyDescent="0.3">
      <c r="A4" s="1">
        <v>2</v>
      </c>
      <c r="B4" t="s">
        <v>43</v>
      </c>
      <c r="C4" s="1" t="s">
        <v>38</v>
      </c>
      <c r="D4" s="1"/>
      <c r="E4" s="1">
        <v>2</v>
      </c>
      <c r="F4" t="str">
        <f t="shared" si="0"/>
        <v>[杵臼大小]中</v>
      </c>
      <c r="G4" s="1" t="s">
        <v>50</v>
      </c>
    </row>
    <row r="5" spans="1:7" x14ac:dyDescent="0.3">
      <c r="A5" s="1">
        <v>3</v>
      </c>
      <c r="B5" t="s">
        <v>44</v>
      </c>
      <c r="C5" s="1" t="s">
        <v>39</v>
      </c>
      <c r="D5" s="1"/>
      <c r="E5" s="1">
        <v>3</v>
      </c>
      <c r="F5" t="str">
        <f t="shared" si="0"/>
        <v>[杵臼大小]大</v>
      </c>
      <c r="G5" s="1" t="s">
        <v>51</v>
      </c>
    </row>
    <row r="6" spans="1:7" x14ac:dyDescent="0.3">
      <c r="A6">
        <v>4</v>
      </c>
      <c r="B6" t="s">
        <v>45</v>
      </c>
      <c r="C6" t="s">
        <v>40</v>
      </c>
    </row>
    <row r="7" spans="1:7" x14ac:dyDescent="0.3">
      <c r="A7">
        <v>5</v>
      </c>
      <c r="B7" t="s">
        <v>46</v>
      </c>
      <c r="C7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F142-0BD1-40BB-A8D4-324724ADC46E}">
  <dimension ref="A1:G9"/>
  <sheetViews>
    <sheetView tabSelected="1" workbookViewId="0">
      <selection activeCell="B9" sqref="B9"/>
    </sheetView>
  </sheetViews>
  <sheetFormatPr defaultRowHeight="15" x14ac:dyDescent="0.3"/>
  <cols>
    <col min="1" max="1" width="16.25" bestFit="1" customWidth="1"/>
    <col min="2" max="2" width="22.25" bestFit="1" customWidth="1"/>
    <col min="3" max="3" width="10.75" bestFit="1" customWidth="1"/>
    <col min="4" max="4" width="3.375" customWidth="1"/>
    <col min="5" max="5" width="12.625" bestFit="1" customWidth="1"/>
    <col min="6" max="6" width="22.25" bestFit="1" customWidth="1"/>
    <col min="7" max="7" width="10.75" bestFit="1" customWidth="1"/>
  </cols>
  <sheetData>
    <row r="1" spans="1:7" x14ac:dyDescent="0.3">
      <c r="A1" s="3" t="s">
        <v>59</v>
      </c>
      <c r="B1" s="1"/>
      <c r="C1" s="1" t="s">
        <v>58</v>
      </c>
      <c r="E1" s="3" t="s">
        <v>66</v>
      </c>
      <c r="F1" s="1"/>
      <c r="G1" s="1" t="s">
        <v>67</v>
      </c>
    </row>
    <row r="2" spans="1:7" x14ac:dyDescent="0.3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4</v>
      </c>
    </row>
    <row r="3" spans="1:7" x14ac:dyDescent="0.3">
      <c r="A3" s="1">
        <v>0</v>
      </c>
      <c r="B3" t="str">
        <f>"["&amp;C$1&amp;"]"&amp;C3</f>
        <v>[道具類型]無</v>
      </c>
      <c r="C3" s="1" t="s">
        <v>36</v>
      </c>
      <c r="E3" s="1">
        <v>0</v>
      </c>
      <c r="F3" t="str">
        <f>"["&amp;G$1&amp;"]"&amp;G3</f>
        <v>[商店類型]無</v>
      </c>
      <c r="G3" s="1" t="s">
        <v>52</v>
      </c>
    </row>
    <row r="4" spans="1:7" x14ac:dyDescent="0.3">
      <c r="A4" s="1">
        <v>1</v>
      </c>
      <c r="B4" t="str">
        <f t="shared" ref="B4:B9" si="0">"["&amp;C$1&amp;"]"&amp;C4</f>
        <v>[道具類型]材料</v>
      </c>
      <c r="C4" s="1" t="s">
        <v>53</v>
      </c>
      <c r="E4" s="1">
        <v>1</v>
      </c>
      <c r="F4" t="str">
        <f t="shared" ref="F4:F8" si="1">"["&amp;G$1&amp;"]"&amp;G4</f>
        <v>[商店類型]現貨</v>
      </c>
      <c r="G4" s="1" t="s">
        <v>64</v>
      </c>
    </row>
    <row r="5" spans="1:7" x14ac:dyDescent="0.3">
      <c r="A5" s="1">
        <v>2</v>
      </c>
      <c r="B5" t="str">
        <f t="shared" si="0"/>
        <v>[道具類型]容器</v>
      </c>
      <c r="C5" s="1" t="s">
        <v>54</v>
      </c>
      <c r="E5" s="1">
        <v>2</v>
      </c>
      <c r="F5" t="str">
        <f t="shared" si="1"/>
        <v>[商店類型]跑腿</v>
      </c>
      <c r="G5" s="1" t="s">
        <v>65</v>
      </c>
    </row>
    <row r="6" spans="1:7" x14ac:dyDescent="0.3">
      <c r="A6" s="1">
        <v>3</v>
      </c>
      <c r="B6" t="str">
        <f t="shared" si="0"/>
        <v>[道具類型]輔料</v>
      </c>
      <c r="C6" s="1" t="s">
        <v>55</v>
      </c>
      <c r="E6" s="1"/>
      <c r="G6" s="1"/>
    </row>
    <row r="7" spans="1:7" x14ac:dyDescent="0.3">
      <c r="A7">
        <v>4</v>
      </c>
      <c r="B7" t="str">
        <f t="shared" si="0"/>
        <v>[道具類型]泥材</v>
      </c>
      <c r="C7" t="s">
        <v>56</v>
      </c>
    </row>
    <row r="8" spans="1:7" x14ac:dyDescent="0.3">
      <c r="A8">
        <v>5</v>
      </c>
      <c r="B8" t="str">
        <f t="shared" si="0"/>
        <v>[道具類型]聲望商品</v>
      </c>
      <c r="C8" t="s">
        <v>57</v>
      </c>
    </row>
    <row r="9" spans="1:7" x14ac:dyDescent="0.3">
      <c r="A9">
        <v>6</v>
      </c>
      <c r="B9" t="str">
        <f t="shared" si="0"/>
        <v>[道具類型]資源</v>
      </c>
      <c r="C9" s="1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範例</vt:lpstr>
      <vt:lpstr>世界地圖</vt:lpstr>
      <vt:lpstr>人脈系統</vt:lpstr>
      <vt:lpstr>材料</vt:lpstr>
      <vt:lpstr>商店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 Chen</dc:creator>
  <cp:lastModifiedBy>Thirza Chen</cp:lastModifiedBy>
  <dcterms:created xsi:type="dcterms:W3CDTF">2015-06-05T18:19:34Z</dcterms:created>
  <dcterms:modified xsi:type="dcterms:W3CDTF">2026-02-13T10:49:57Z</dcterms:modified>
</cp:coreProperties>
</file>